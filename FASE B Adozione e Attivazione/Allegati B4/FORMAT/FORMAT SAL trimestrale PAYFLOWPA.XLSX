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13_ncr:1_{B1C8D70B-A94E-4DE3-BE0A-16208CA7AC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rmat SAL trimestrale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0" i="1" l="1"/>
  <c r="E50" i="1"/>
  <c r="O50" i="1" s="1"/>
  <c r="D50" i="1"/>
  <c r="C50" i="1"/>
  <c r="F49" i="1"/>
  <c r="E49" i="1"/>
  <c r="O49" i="1" s="1"/>
  <c r="D49" i="1"/>
  <c r="C49" i="1"/>
  <c r="F48" i="1"/>
  <c r="E48" i="1"/>
  <c r="O48" i="1" s="1"/>
  <c r="D48" i="1"/>
  <c r="C48" i="1"/>
  <c r="F47" i="1"/>
  <c r="E47" i="1"/>
  <c r="O47" i="1" s="1"/>
  <c r="D47" i="1"/>
  <c r="C47" i="1"/>
  <c r="F46" i="1"/>
  <c r="E46" i="1"/>
  <c r="O46" i="1" s="1"/>
  <c r="D46" i="1"/>
  <c r="C46" i="1"/>
  <c r="J45" i="1"/>
  <c r="I45" i="1"/>
  <c r="H45" i="1"/>
  <c r="E45" i="1"/>
  <c r="F44" i="1"/>
  <c r="E44" i="1"/>
  <c r="D44" i="1"/>
  <c r="C44" i="1"/>
  <c r="F43" i="1"/>
  <c r="E43" i="1"/>
  <c r="O43" i="1" s="1"/>
  <c r="D43" i="1"/>
  <c r="C43" i="1"/>
  <c r="F42" i="1"/>
  <c r="E42" i="1"/>
  <c r="O42" i="1" s="1"/>
  <c r="D42" i="1"/>
  <c r="C42" i="1"/>
  <c r="F41" i="1"/>
  <c r="E41" i="1"/>
  <c r="O41" i="1" s="1"/>
  <c r="D41" i="1"/>
  <c r="C41" i="1"/>
  <c r="F40" i="1"/>
  <c r="E40" i="1"/>
  <c r="O40" i="1" s="1"/>
  <c r="D40" i="1"/>
  <c r="C40" i="1"/>
  <c r="J39" i="1"/>
  <c r="I39" i="1"/>
  <c r="H39" i="1"/>
  <c r="E39" i="1"/>
  <c r="F38" i="1"/>
  <c r="E38" i="1"/>
  <c r="D38" i="1"/>
  <c r="C38" i="1"/>
  <c r="F37" i="1"/>
  <c r="E37" i="1"/>
  <c r="O37" i="1" s="1"/>
  <c r="D37" i="1"/>
  <c r="C37" i="1"/>
  <c r="F36" i="1"/>
  <c r="E36" i="1"/>
  <c r="D36" i="1"/>
  <c r="C36" i="1"/>
  <c r="F35" i="1"/>
  <c r="E35" i="1"/>
  <c r="O35" i="1" s="1"/>
  <c r="D35" i="1"/>
  <c r="C35" i="1"/>
  <c r="F34" i="1"/>
  <c r="E34" i="1"/>
  <c r="D34" i="1"/>
  <c r="C34" i="1"/>
  <c r="F33" i="1"/>
  <c r="E33" i="1"/>
  <c r="O33" i="1" s="1"/>
  <c r="D33" i="1"/>
  <c r="C33" i="1"/>
  <c r="J32" i="1"/>
  <c r="I32" i="1"/>
  <c r="H32" i="1"/>
  <c r="F31" i="1"/>
  <c r="E31" i="1"/>
  <c r="O31" i="1" s="1"/>
  <c r="D31" i="1"/>
  <c r="C31" i="1"/>
  <c r="O30" i="1"/>
  <c r="F30" i="1"/>
  <c r="E30" i="1"/>
  <c r="D30" i="1"/>
  <c r="C30" i="1"/>
  <c r="F29" i="1"/>
  <c r="E29" i="1"/>
  <c r="O29" i="1" s="1"/>
  <c r="D29" i="1"/>
  <c r="C29" i="1"/>
  <c r="F28" i="1"/>
  <c r="E28" i="1"/>
  <c r="O28" i="1" s="1"/>
  <c r="D28" i="1"/>
  <c r="C28" i="1"/>
  <c r="F27" i="1"/>
  <c r="E27" i="1"/>
  <c r="O27" i="1" s="1"/>
  <c r="D27" i="1"/>
  <c r="C27" i="1"/>
  <c r="F26" i="1"/>
  <c r="E26" i="1"/>
  <c r="O26" i="1" s="1"/>
  <c r="D26" i="1"/>
  <c r="C26" i="1"/>
  <c r="J25" i="1"/>
  <c r="I25" i="1"/>
  <c r="H25" i="1"/>
  <c r="E25" i="1"/>
  <c r="O25" i="1" s="1"/>
  <c r="F24" i="1"/>
  <c r="E24" i="1"/>
  <c r="O24" i="1" s="1"/>
  <c r="D24" i="1"/>
  <c r="C24" i="1"/>
  <c r="F23" i="1"/>
  <c r="E23" i="1"/>
  <c r="O23" i="1" s="1"/>
  <c r="D23" i="1"/>
  <c r="C23" i="1"/>
  <c r="F22" i="1"/>
  <c r="E22" i="1"/>
  <c r="O22" i="1" s="1"/>
  <c r="D22" i="1"/>
  <c r="C22" i="1"/>
  <c r="F21" i="1"/>
  <c r="E21" i="1"/>
  <c r="O21" i="1" s="1"/>
  <c r="D21" i="1"/>
  <c r="C21" i="1"/>
  <c r="F20" i="1"/>
  <c r="E20" i="1"/>
  <c r="O20" i="1" s="1"/>
  <c r="D20" i="1"/>
  <c r="C20" i="1"/>
  <c r="F19" i="1"/>
  <c r="E19" i="1"/>
  <c r="O19" i="1" s="1"/>
  <c r="D19" i="1"/>
  <c r="C19" i="1"/>
  <c r="F18" i="1"/>
  <c r="E18" i="1"/>
  <c r="O18" i="1" s="1"/>
  <c r="D18" i="1"/>
  <c r="C18" i="1"/>
  <c r="F17" i="1"/>
  <c r="E17" i="1"/>
  <c r="O17" i="1" s="1"/>
  <c r="D17" i="1"/>
  <c r="C17" i="1"/>
  <c r="J16" i="1"/>
  <c r="I16" i="1"/>
  <c r="H16" i="1"/>
</calcChain>
</file>

<file path=xl/sharedStrings.xml><?xml version="1.0" encoding="utf-8"?>
<sst xmlns="http://schemas.openxmlformats.org/spreadsheetml/2006/main" count="110" uniqueCount="108">
  <si>
    <t>AGID</t>
  </si>
  <si>
    <t>I</t>
  </si>
  <si>
    <t>Da avviare</t>
  </si>
  <si>
    <t>Raggiunto</t>
  </si>
  <si>
    <t>Comune di Bari</t>
  </si>
  <si>
    <t>II</t>
  </si>
  <si>
    <t>In corso</t>
  </si>
  <si>
    <t>Parziale</t>
  </si>
  <si>
    <t>Regione Toscana</t>
  </si>
  <si>
    <t>III</t>
  </si>
  <si>
    <t>Conclusa</t>
  </si>
  <si>
    <t>Critico</t>
  </si>
  <si>
    <t>Regione Veneto</t>
  </si>
  <si>
    <t>IV</t>
  </si>
  <si>
    <t>Città Metropolitana di Bari</t>
  </si>
  <si>
    <t>Città Metropolitana di Roma</t>
  </si>
  <si>
    <t>Provincia autonoma di Trento</t>
  </si>
  <si>
    <t>Regione Campania</t>
  </si>
  <si>
    <t>Regione Lombardia</t>
  </si>
  <si>
    <t>Regione Puglia</t>
  </si>
  <si>
    <t>Regione Umbria</t>
  </si>
  <si>
    <t>Partner</t>
  </si>
  <si>
    <t>Anno</t>
  </si>
  <si>
    <t>Trimestre</t>
  </si>
  <si>
    <t>Azione</t>
  </si>
  <si>
    <t>Attività</t>
  </si>
  <si>
    <t>Indicatore output</t>
  </si>
  <si>
    <t>Target IO</t>
  </si>
  <si>
    <t>Indicatore di risultato</t>
  </si>
  <si>
    <t>Target IR</t>
  </si>
  <si>
    <t>Importo Rendicontato</t>
  </si>
  <si>
    <t>Numero risorse impegnate</t>
  </si>
  <si>
    <t>Numero ore impegnate</t>
  </si>
  <si>
    <t>Status attività</t>
  </si>
  <si>
    <t>Descrizione attività realizzate</t>
  </si>
  <si>
    <t>Status IO</t>
  </si>
  <si>
    <t>Status IR</t>
  </si>
  <si>
    <t>Criticità</t>
  </si>
  <si>
    <t>Azione A1</t>
  </si>
  <si>
    <t>Progettazione, direzione, coordinamento e monitoraggio dell'intervento finanziato
Coordinamento Comune di Bari</t>
  </si>
  <si>
    <t>A1.1</t>
  </si>
  <si>
    <t>Costituzione del Comitato Guida, composto da rappresentanti di ogni ente aderente al partenariato, e svolgimento di un incontro di kick-off il cui output sarà la definizione degli obiettivi strategici e la programmazione di incontri periodici finalizzati al monitoraggio dell’intervento e al coordinamento delle scelte di sviluppo di PayFlowPA</t>
  </si>
  <si>
    <t>A1.2</t>
  </si>
  <si>
    <t>Costituzione del Tavolo Tecnico, composto da rappresentanti di ogni ente aderente al partenariato, e svolgimento di un incontro di kick-off il cui output sarà la definizione degli obiettivi operativi e la programmazione di incontri periodici finalizzati al coordinamento delle attività di sviluppo di PayFlowPA</t>
  </si>
  <si>
    <t>A1.3</t>
  </si>
  <si>
    <t>Definizione delle risorse per il project management e per la costituzione del team di progetto come da Sezione 7</t>
  </si>
  <si>
    <t>A1.4</t>
  </si>
  <si>
    <t>Definizione di un format per il SAL trimestrale, di un set di indicatori per il monitoraggio dell’avanzamento dell’iniziativa, che tenga conto degli obiettivi e delle tempistiche preventivate dal Comitato Guida e dal Tavolo Tecnico e definizione di strumenti e procedure per monitorare i risultati di progetto</t>
  </si>
  <si>
    <t>A1.5</t>
  </si>
  <si>
    <t>Elaborazione delle procedure di acquisto dei servizi di supporto necessari allo svolgimento del progetto</t>
  </si>
  <si>
    <t>A1.6</t>
  </si>
  <si>
    <t>Organizzazione e realizzazione incontri di Stato Avanzamento Lavori per il monitoraggio e la valutazione del raggiungimento degli obiettivi del progetto</t>
  </si>
  <si>
    <t>A1.7</t>
  </si>
  <si>
    <t>Pianificazione e programmazione delle attività in base agli obiettivi del progetto; organizzazione efficiente ed efficace delle stesse mediante attività di coordinamento volte a favorire la comunicazione tra i vari organi del modello di governance del progetto (Comitato Guida, Tavolo Tecnico e Team di progetto) e distribuire le attività in considerazione delle scadenze previste</t>
  </si>
  <si>
    <t>A1.8</t>
  </si>
  <si>
    <t>Gestione dei rapporti con Adg e rendicontazione (raccolta, elaborazione e invio dei dati necessari alla rendicontazione delle attività svolte)</t>
  </si>
  <si>
    <t>Azione A2</t>
  </si>
  <si>
    <t>Individuazione di tutte le componenti del “kit del riuso” della buona pratica
Coordinamento Regione Toscana</t>
  </si>
  <si>
    <t>A2.1</t>
  </si>
  <si>
    <t>Individuazione e analisi dei fattori organizzativi, tecnologici, amministrativi, normativi o regolamentari che possono influenzare il trasferimento della buona pratica e delle possibili modalità di riuso, considerando le specifiche esperienze e competenze di ogni amministrazione aderente al partenariato (es presenza di in house dedicate all’ICT, livello delle infrastrutture e maturità ICT del personale, servizi di pagamento già attivati e sistemi gestionali in uso).</t>
  </si>
  <si>
    <t>A2.2</t>
  </si>
  <si>
    <t>Analisi di tempi e costi per l’adozione e la gestione a regime della buona pratica, con approfondimenti specifici sulle funzionalità tecnologiche sviluppate da Regione Veneto e Regione Toscana e sugli impatti tecnologici e organizzativi relativi all’adozione della soluzione PayFlowPA</t>
  </si>
  <si>
    <t>A2.3</t>
  </si>
  <si>
    <t>Progettazione del kit di riuso individuando per ciascuna componente, sulla base della fase di analisi condotta (A2.1 e A2.2) e della natura delle componenti del kit (tecnologica piuttosto che gestionale od organizzativa, ecc.), le tempistiche di produzione e di aggiornamento. Le varie “release” del kit di riuso saranno pianificate in accordo alle tempistiche delle azioni A3 e A4.</t>
  </si>
  <si>
    <t>A2.4</t>
  </si>
  <si>
    <t>Produzione del kit di riuso comprensivo della manualistica (template, convenzioni di riuso, ecc.) già ampiamente adottata dal modello di riuso SPAC e di tutti gli strumenti definiti dall’attività A2.3</t>
  </si>
  <si>
    <t>A2.5</t>
  </si>
  <si>
    <t>Fine-tuning del kit di riuso sulla base degli elementi raccolti durante la fase di trasferimento della buona pratica (ad esempio integrazione di FAQ per facilitare l’utilizzo della soluzione) e degli eventuali aggiornamenti intercorsi durante lo svolgimento del progetto (ad esempio aggiornamenti di funzionalità) e successivo rilascio del kit di riuso</t>
  </si>
  <si>
    <t>A2.6</t>
  </si>
  <si>
    <t>Predisposizione di un piano di adozione di PayFlowPA che consideri l’analisi dei tempi e costi e le raccomandazioni definite dal Comitato Guida e dal Tavolo Tecnico. In particolare data la specificità di ogni Ente, nel piano sono considerate sia le competenze e le risorse possedute da ogni PA sia le procedure amministrative e operative da attivare per il trasferimento della soluzione. Infine saranno analizzati gli adeguamenti necessari alle strutture organizzative impattate dall’implementazione di PayFlowPA</t>
  </si>
  <si>
    <t>Azione A3</t>
  </si>
  <si>
    <t>Trasferimento della buona pratica tra Ente/i Cedente/i ed Enti Riusanti
Coordinamento Comune di Bari</t>
  </si>
  <si>
    <t>A3.1</t>
  </si>
  <si>
    <t>Condivisione con gli Enti riusanti del materiale amministrativo finalizzato alla presa a riuso di PayFlowPA (es delibera per la presa a riuso di PayFlowPA, sottoscrizione della convenzione di adesione al modello SPAC, etc.) e successiva approvazione del materiale da parte degli Enti riusanti</t>
  </si>
  <si>
    <t>A3.2</t>
  </si>
  <si>
    <t>Trasferimento di tutte le componenti definite nel “kit di riuso”  relativo a PayFlowPA</t>
  </si>
  <si>
    <t>A3.3</t>
  </si>
  <si>
    <t>Erogazione di interventi formativi al personale degli Enti riusanti (formazione ai formatori) sia da remoto (es webinar) sia tramite seminari in presenza</t>
  </si>
  <si>
    <t>A3.4</t>
  </si>
  <si>
    <t>Predisposizione dell’infrastruttura e degli ambienti necessari ed installazione della soluzione PayFlowPA con la fornitura delle necessarie attività di supporto e assistenza, approvata ed autorizzata dagli organi di governance del progetto (moduli prioritari, enti pilota, …).</t>
  </si>
  <si>
    <t>A3.5</t>
  </si>
  <si>
    <t>Messa in esercizio e test di verifica del corretto trasferimento della buona pratica con la fornitura delle necessarie attività di supporto e assistenza, approvata ed autorizzata dagli organi di governance del progetto.</t>
  </si>
  <si>
    <t>A3.6</t>
  </si>
  <si>
    <t>Attività di monitoraggio per la rendicontazione dello stato di trasferimento, adeguamento e recepimento del kit di riuso</t>
  </si>
  <si>
    <t>Azione A4</t>
  </si>
  <si>
    <t>Evoluzione della buona pratica oggetto di trasferimento attraverso Open Community PA 2020
Coordinamento Regione Veneto</t>
  </si>
  <si>
    <t>A4.1</t>
  </si>
  <si>
    <t>Monitoraggio dell’evoluzione normativa e tecnologica da parte degli organi di governance del progetto e condivisione dei risultati dell’analisi svolta nell’azione A2, al fine di individuare le evoluzioni della buona pratica in termini di funzionalità, infrastruttura e manutenzione. L’attività sarà svolta in stretto coordinamento con i partner del progetto e l’Agenzia per la Coesione Territoriale</t>
  </si>
  <si>
    <t>A4.2</t>
  </si>
  <si>
    <t>Progettazione esecutiva delle evoluzioni di PayFlowPA proposte sulla base degli input del monitoraggio effettuato e di esigenze espresse dal partenariato</t>
  </si>
  <si>
    <t>A4.3</t>
  </si>
  <si>
    <t>Approvazione da parte degli organi di governance del progetto della pianificazione e suddivisione delle attività così da definire sia l’impiego del personale interno che i servizi da porre ad oggetto di gara</t>
  </si>
  <si>
    <t>A4.4</t>
  </si>
  <si>
    <t>Realizzazione di tutte le attività volte ad assicurare lo sviluppo evolutivo della buona pratica  tramite ricorso sia a forme di co-progettazione sia al mercato per l’acquisto di beni e servizi</t>
  </si>
  <si>
    <t>A4.5</t>
  </si>
  <si>
    <t>Pianificazione delle release e messa a disposizione degli sviluppi a tutti gli Enti al fine di mantenere una release unica</t>
  </si>
  <si>
    <t>Azione A5</t>
  </si>
  <si>
    <t>Promozione, comunicazione e disseminazione dell’intervento
Coordinamento AgID</t>
  </si>
  <si>
    <t>A5.1</t>
  </si>
  <si>
    <t>Definizione ed approvazione del Piano di disseminazione e valorizzazione degli output e risultati raggiunti individuando i canali specifici di disseminazione quali materiali promozionali (brochure, logo, ecc.), comunicazione e visibilità online (articoli, newsletter, ecc.) ed eventi (conferenza stampa, workshop, ecc.)</t>
  </si>
  <si>
    <t>A5.2</t>
  </si>
  <si>
    <t>Attuazione del Piano di Disseminazione e Valorizzazione così da definire sia l’impiego del personale interno che i servizi da porre ad oggetto di gara.</t>
  </si>
  <si>
    <t>A5.3</t>
  </si>
  <si>
    <t>Coinvolgimento di tutti gli stakeholder tramite incontri periodici finalizzati a garantire la massima diffusione della buona pratica anche al fine di prevenire eventuali resistenze al cambiamento.</t>
  </si>
  <si>
    <t>A5.4</t>
  </si>
  <si>
    <t>Interventi informativi e formativi da parte degli enti aderenti al partenariato ai propri enti territoriali, sia attraverso webinar sia attraverso seminari in presenza, per proporre l’adozione della buona pratica proposta</t>
  </si>
  <si>
    <t>A5.5</t>
  </si>
  <si>
    <t>Supporto da parte degli enti aderenti al partenariato agli enti territoriali che decideranno di adottare la buona pratica proposta nella definizione delle procedure idonee ad abilitare il trasferimento.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</si>
</sst>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4" fillId="0" borderId="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3" borderId="1" xfId="0" applyFont="1" applyFill="1" applyBorder="1"/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64" fontId="0" fillId="3" borderId="1" xfId="1" applyFont="1" applyFill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1" xfId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4" fontId="0" fillId="3" borderId="1" xfId="1" applyFont="1" applyFill="1" applyBorder="1" applyAlignment="1">
      <alignment vertical="center"/>
    </xf>
    <xf numFmtId="164" fontId="0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164" fontId="7" fillId="5" borderId="1" xfId="1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VORO%20090220/PAYFLOW/Deliverable%20SANTANGELO/Format%20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 SAL trimestrale"/>
      <sheetName val="Macro output PE"/>
      <sheetName val="Riepilogo IO"/>
      <sheetName val="Riepilogo IR"/>
      <sheetName val="Budget"/>
      <sheetName val="Riepilogo rendiconti"/>
    </sheetNames>
    <sheetDataSet>
      <sheetData sheetId="0"/>
      <sheetData sheetId="1"/>
      <sheetData sheetId="2">
        <row r="1">
          <cell r="A1" t="str">
            <v>Azione</v>
          </cell>
          <cell r="B1" t="str">
            <v>Indicatore</v>
          </cell>
          <cell r="C1" t="str">
            <v>Unità di Misura</v>
          </cell>
          <cell r="D1" t="str">
            <v>Valore target</v>
          </cell>
          <cell r="E1" t="str">
            <v>Valore raggiunto</v>
          </cell>
          <cell r="F1" t="str">
            <v>Owner</v>
          </cell>
          <cell r="G1" t="str">
            <v>Note</v>
          </cell>
        </row>
        <row r="2">
          <cell r="A2" t="str">
            <v>A1.1</v>
          </cell>
          <cell r="B2" t="str">
            <v>Verbale di incontro di kick-off del Comitato Guida</v>
          </cell>
          <cell r="C2" t="str">
            <v>SI/NO</v>
          </cell>
          <cell r="D2" t="str">
            <v>SI</v>
          </cell>
          <cell r="E2" t="str">
            <v>SI</v>
          </cell>
          <cell r="F2" t="str">
            <v>Project management</v>
          </cell>
          <cell r="G2"/>
        </row>
        <row r="3">
          <cell r="A3" t="str">
            <v>A1.2</v>
          </cell>
          <cell r="B3" t="str">
            <v>Verbale di incontro di kick-off del Tavolo Tecnico</v>
          </cell>
          <cell r="C3" t="str">
            <v>SI/NO</v>
          </cell>
          <cell r="D3" t="str">
            <v>SI</v>
          </cell>
          <cell r="E3" t="str">
            <v>SI</v>
          </cell>
          <cell r="F3" t="str">
            <v>Project management</v>
          </cell>
          <cell r="G3"/>
        </row>
        <row r="4">
          <cell r="A4" t="str">
            <v>A1.3</v>
          </cell>
          <cell r="B4" t="str">
            <v>Relazione lavori del team di progetto validata dagli enti di partenariato</v>
          </cell>
          <cell r="C4" t="str">
            <v>SI/NO</v>
          </cell>
          <cell r="D4" t="str">
            <v>SI</v>
          </cell>
          <cell r="E4"/>
          <cell r="F4" t="str">
            <v>Project management</v>
          </cell>
          <cell r="G4"/>
        </row>
        <row r="5">
          <cell r="A5" t="str">
            <v>A1.4</v>
          </cell>
          <cell r="B5" t="str">
            <v>Set di indicatori validato dagli Enti del partenariato</v>
          </cell>
          <cell r="C5" t="str">
            <v>SI/NO</v>
          </cell>
          <cell r="D5" t="str">
            <v>SI</v>
          </cell>
          <cell r="E5"/>
          <cell r="F5" t="str">
            <v>Project management</v>
          </cell>
          <cell r="G5"/>
        </row>
        <row r="6">
          <cell r="A6" t="str">
            <v>A1.5</v>
          </cell>
          <cell r="B6" t="str">
            <v>Documentazione procedure di acquisto</v>
          </cell>
          <cell r="C6" t="str">
            <v>SI/NO</v>
          </cell>
          <cell r="D6" t="str">
            <v>SI</v>
          </cell>
          <cell r="E6"/>
          <cell r="F6" t="str">
            <v>Project management</v>
          </cell>
          <cell r="G6"/>
        </row>
        <row r="7">
          <cell r="A7" t="str">
            <v>A1.6</v>
          </cell>
          <cell r="B7" t="str">
            <v>Verbali di Stato avanzamento lavori</v>
          </cell>
          <cell r="C7" t="str">
            <v>SI/NO</v>
          </cell>
          <cell r="D7" t="str">
            <v>SI</v>
          </cell>
          <cell r="E7"/>
          <cell r="F7" t="str">
            <v>Comune di Bari, Project management</v>
          </cell>
          <cell r="G7"/>
        </row>
        <row r="8">
          <cell r="A8" t="str">
            <v>A1.7</v>
          </cell>
          <cell r="B8" t="str">
            <v>Piani di lavoro e relativi aggiornamenti</v>
          </cell>
          <cell r="C8" t="str">
            <v>SI/NO</v>
          </cell>
          <cell r="D8" t="str">
            <v>SI</v>
          </cell>
          <cell r="E8"/>
          <cell r="F8" t="str">
            <v>Project management</v>
          </cell>
          <cell r="G8"/>
        </row>
        <row r="9">
          <cell r="A9" t="str">
            <v>A1.8</v>
          </cell>
          <cell r="B9" t="str">
            <v>Documenti per la rendicontazione</v>
          </cell>
          <cell r="C9" t="str">
            <v>SI/NO</v>
          </cell>
          <cell r="D9" t="str">
            <v>SI</v>
          </cell>
          <cell r="E9"/>
          <cell r="F9" t="str">
            <v>Project management</v>
          </cell>
          <cell r="G9"/>
        </row>
        <row r="10">
          <cell r="A10" t="str">
            <v>A2.1</v>
          </cell>
          <cell r="B10" t="str">
            <v>Numero di report di analisi dei fattori organizzativi, tecnologici, amministrativi, normativi o regolamentari previsti</v>
          </cell>
          <cell r="C10" t="str">
            <v>Numero</v>
          </cell>
          <cell r="D10">
            <v>8</v>
          </cell>
          <cell r="E10"/>
          <cell r="F10" t="str">
            <v>Regione Toscana, Regione Veneto, Comune di Bari</v>
          </cell>
          <cell r="G10"/>
        </row>
        <row r="11">
          <cell r="A11" t="str">
            <v>A2.2</v>
          </cell>
          <cell r="B11" t="str">
            <v>Documento di analisi tempi e costi per l'adozione e la gestione a regime della buona pratica</v>
          </cell>
          <cell r="C11" t="str">
            <v>SI/NO</v>
          </cell>
          <cell r="D11" t="str">
            <v>SI</v>
          </cell>
          <cell r="E11"/>
          <cell r="F11" t="str">
            <v>Regione Toscana, Regione Veneto, Exprivia Spa</v>
          </cell>
          <cell r="G11"/>
        </row>
        <row r="12">
          <cell r="A12" t="str">
            <v>A2.3</v>
          </cell>
          <cell r="B12" t="str">
            <v>Disponibilità delle componenti del kit di riuso costituito almeno da 1) Codice sorgente e codice compilato disponibile</v>
          </cell>
          <cell r="C12" t="str">
            <v>SI/NO</v>
          </cell>
          <cell r="D12" t="str">
            <v>SI</v>
          </cell>
          <cell r="E12"/>
          <cell r="F12" t="str">
            <v>Regione Toscana, Regione Veneto</v>
          </cell>
          <cell r="G12"/>
        </row>
        <row r="13">
          <cell r="A13" t="str">
            <v>A2.4</v>
          </cell>
          <cell r="B13" t="str">
            <v>Documentazione finale del kit di riuso e FAQ per gli Enti riusanti</v>
          </cell>
          <cell r="C13" t="str">
            <v>SI/NO</v>
          </cell>
          <cell r="D13" t="str">
            <v>SI</v>
          </cell>
          <cell r="E13"/>
          <cell r="F13" t="str">
            <v>RTI Almaviva</v>
          </cell>
          <cell r="G13"/>
        </row>
        <row r="14">
          <cell r="A14" t="str">
            <v>A2.5</v>
          </cell>
          <cell r="B14" t="str">
            <v>Piano di adozione</v>
          </cell>
          <cell r="C14" t="str">
            <v>SI/NO</v>
          </cell>
          <cell r="D14" t="str">
            <v>SI</v>
          </cell>
          <cell r="E14"/>
          <cell r="F14" t="str">
            <v>Regione Toscana, Regione Veneto</v>
          </cell>
          <cell r="G14"/>
        </row>
        <row r="15">
          <cell r="A15" t="str">
            <v>A3.1</v>
          </cell>
          <cell r="B15" t="str">
            <v>Comunicazioni attestanti l'approvazione della documentazione amministrativa</v>
          </cell>
          <cell r="C15" t="str">
            <v>SI/NO</v>
          </cell>
          <cell r="D15" t="str">
            <v>SI</v>
          </cell>
          <cell r="E15"/>
          <cell r="F15" t="str">
            <v>Project management</v>
          </cell>
          <cell r="G15"/>
        </row>
        <row r="16">
          <cell r="A16" t="str">
            <v>A3.2</v>
          </cell>
          <cell r="B16" t="str">
            <v>Relazione relativa alla progettazione e pianificazione delle attività di trasferimento del kit di riuso</v>
          </cell>
          <cell r="C16" t="str">
            <v>SI/NO</v>
          </cell>
          <cell r="D16" t="str">
            <v>SI</v>
          </cell>
          <cell r="E16"/>
          <cell r="F16" t="str">
            <v>RTI Almaviva</v>
          </cell>
          <cell r="G16"/>
        </row>
        <row r="17">
          <cell r="A17" t="str">
            <v>A3.3</v>
          </cell>
          <cell r="B17" t="str">
            <v>Numero eventi formativi al personale degli Enti riusanti</v>
          </cell>
          <cell r="C17" t="str">
            <v>Numero</v>
          </cell>
          <cell r="D17">
            <v>8</v>
          </cell>
          <cell r="E17"/>
          <cell r="F17" t="str">
            <v>Webinar, Incontri in loco</v>
          </cell>
          <cell r="G17"/>
        </row>
        <row r="18">
          <cell r="A18" t="str">
            <v>A3.4</v>
          </cell>
          <cell r="B18" t="str">
            <v>Rapporto sulle attività svolte per l'installazione della soluzione PayFlowPA</v>
          </cell>
          <cell r="C18" t="str">
            <v>Numero</v>
          </cell>
          <cell r="D18">
            <v>8</v>
          </cell>
          <cell r="E18"/>
          <cell r="F18" t="str">
            <v>Rapporto di collaudo per ogni ente riusante</v>
          </cell>
          <cell r="G18"/>
        </row>
        <row r="19">
          <cell r="A19" t="str">
            <v>A3.5</v>
          </cell>
          <cell r="B19" t="str">
            <v>Verbale di verifica per ciascuna sessione di test condotta</v>
          </cell>
          <cell r="C19" t="str">
            <v>SI/NO</v>
          </cell>
          <cell r="D19" t="str">
            <v>SI</v>
          </cell>
          <cell r="E19"/>
          <cell r="F19" t="str">
            <v>Project management, RTI Almaviva, Ente riusante</v>
          </cell>
          <cell r="G19"/>
        </row>
        <row r="20">
          <cell r="A20" t="str">
            <v>A3.6</v>
          </cell>
          <cell r="B20" t="str">
            <v>Relazione relativa all'evoluzione normativa e tecnologica</v>
          </cell>
          <cell r="C20" t="str">
            <v>Numero</v>
          </cell>
          <cell r="D20">
            <v>1</v>
          </cell>
          <cell r="E20"/>
          <cell r="F20" t="str">
            <v>AGID, Project management</v>
          </cell>
          <cell r="G20"/>
        </row>
        <row r="21">
          <cell r="A21" t="str">
            <v>A4.1</v>
          </cell>
          <cell r="B21" t="str">
            <v>Reportistica relativa all'evoluzione normativa e tecnologica</v>
          </cell>
          <cell r="C21" t="str">
            <v>SI/NO</v>
          </cell>
          <cell r="D21" t="str">
            <v>SI</v>
          </cell>
          <cell r="E21"/>
          <cell r="F21" t="str">
            <v>AGID, Project management</v>
          </cell>
          <cell r="G21"/>
        </row>
        <row r="22">
          <cell r="A22" t="str">
            <v>A4.2</v>
          </cell>
          <cell r="B22" t="str">
            <v>Progetti esecutivi evoluzioni</v>
          </cell>
          <cell r="C22" t="str">
            <v>SI/NO</v>
          </cell>
          <cell r="D22" t="str">
            <v>SI</v>
          </cell>
          <cell r="E22"/>
          <cell r="F22" t="str">
            <v>Project management, RTI Almaviva</v>
          </cell>
          <cell r="G22"/>
        </row>
        <row r="23">
          <cell r="A23" t="str">
            <v>A4.3</v>
          </cell>
          <cell r="B23" t="str">
            <v xml:space="preserve">Verbali di approvazione dei progetti esecutivi da parte degli organi di governance </v>
          </cell>
          <cell r="C23" t="str">
            <v>SI/NO</v>
          </cell>
          <cell r="D23" t="str">
            <v>SI</v>
          </cell>
          <cell r="E23"/>
          <cell r="F23" t="str">
            <v>Project management, Comitato Tecnico, AdG</v>
          </cell>
          <cell r="G23"/>
        </row>
        <row r="24">
          <cell r="A24" t="str">
            <v>A4.4</v>
          </cell>
          <cell r="B24" t="str">
            <v>Reportistica delle attività di sviluppo delle evoluzioni e verbale di approvazione degli interventi evolutivi</v>
          </cell>
          <cell r="C24" t="str">
            <v>SI/NO</v>
          </cell>
          <cell r="D24" t="str">
            <v>SI</v>
          </cell>
          <cell r="E24"/>
          <cell r="F24" t="str">
            <v>Project management, RTI Almaviva</v>
          </cell>
          <cell r="G24"/>
        </row>
        <row r="25">
          <cell r="A25" t="str">
            <v>A4.5</v>
          </cell>
          <cell r="B25" t="str">
            <v>Documenti di collaudo evoluzioni</v>
          </cell>
          <cell r="C25" t="str">
            <v>SI/NO</v>
          </cell>
          <cell r="D25" t="str">
            <v>SI</v>
          </cell>
          <cell r="E25"/>
          <cell r="F25" t="str">
            <v>Project management, RTI Almaviva</v>
          </cell>
          <cell r="G25"/>
        </row>
        <row r="26">
          <cell r="A26" t="str">
            <v>A5.1</v>
          </cell>
          <cell r="B26" t="str">
            <v>Piano di disseminazione e valorizzazione</v>
          </cell>
          <cell r="C26" t="str">
            <v>Numero</v>
          </cell>
          <cell r="D26">
            <v>1</v>
          </cell>
          <cell r="E26"/>
          <cell r="F26" t="str">
            <v>Project management, Comitato Tecnico, RTI Almaviva</v>
          </cell>
          <cell r="G26"/>
        </row>
        <row r="27">
          <cell r="A27" t="str">
            <v>A5.2</v>
          </cell>
          <cell r="B27" t="str">
            <v>Documentazione relativa alle attività del Piano</v>
          </cell>
          <cell r="C27" t="str">
            <v>SI/NO</v>
          </cell>
          <cell r="D27" t="str">
            <v>SI</v>
          </cell>
          <cell r="E27"/>
          <cell r="F27" t="str">
            <v>Project management</v>
          </cell>
          <cell r="G27"/>
        </row>
        <row r="28">
          <cell r="A28" t="str">
            <v>A5.3</v>
          </cell>
          <cell r="B28" t="str">
            <v>Incontri con gli stakeholder</v>
          </cell>
          <cell r="C28" t="str">
            <v>Numero</v>
          </cell>
          <cell r="D28">
            <v>4</v>
          </cell>
          <cell r="E28"/>
          <cell r="F28" t="str">
            <v>Comune di Bari: Operatori privati (Exprivia, RTI Almaviva, Links, …) Enti locali (Camera di Commercio, Anci Puglia)</v>
          </cell>
          <cell r="G28"/>
        </row>
        <row r="29">
          <cell r="A29" t="str">
            <v>A5.4</v>
          </cell>
          <cell r="B29" t="str">
            <v>Numero eventi formativi del partenariato ai propri enti territoriali</v>
          </cell>
          <cell r="C29" t="str">
            <v>Numero</v>
          </cell>
          <cell r="D29">
            <v>11</v>
          </cell>
          <cell r="E29"/>
          <cell r="F29" t="str">
            <v>Webinar, Incontri in loco</v>
          </cell>
          <cell r="G29"/>
        </row>
        <row r="30">
          <cell r="A30" t="str">
            <v>A5.5</v>
          </cell>
          <cell r="B30" t="str">
            <v>FAQ per gli Enti interessati al riuo del sistema PayFlowPA</v>
          </cell>
          <cell r="C30" t="str">
            <v>SI/NO</v>
          </cell>
          <cell r="D30" t="str">
            <v>SI</v>
          </cell>
          <cell r="E30"/>
          <cell r="F30" t="str">
            <v>Comitato Tecnico, RTI Almaviva</v>
          </cell>
          <cell r="G30"/>
        </row>
      </sheetData>
      <sheetData sheetId="3">
        <row r="1">
          <cell r="B1" t="str">
            <v>Azione</v>
          </cell>
          <cell r="C1" t="str">
            <v>Indicatore</v>
          </cell>
          <cell r="D1" t="str">
            <v>Unità di Misura</v>
          </cell>
          <cell r="E1" t="str">
            <v>Valore target</v>
          </cell>
          <cell r="F1" t="str">
            <v>Valore raggiunto</v>
          </cell>
          <cell r="G1" t="str">
            <v>Owner</v>
          </cell>
          <cell r="H1" t="str">
            <v>Note</v>
          </cell>
        </row>
        <row r="2">
          <cell r="B2" t="str">
            <v>A3.2</v>
          </cell>
          <cell r="C2" t="str">
            <v>Numero di trasferimenti della soluzione PayFlowPA (previsti uno per ogni ente riusante)</v>
          </cell>
          <cell r="D2" t="str">
            <v>Numero</v>
          </cell>
          <cell r="E2">
            <v>8</v>
          </cell>
          <cell r="F2"/>
          <cell r="G2" t="str">
            <v>Enti riusanti (effettivi)</v>
          </cell>
          <cell r="H2"/>
        </row>
        <row r="3">
          <cell r="B3" t="str">
            <v>A3.4</v>
          </cell>
          <cell r="C3" t="str">
            <v>Numero di Enti riusanti che hanno installato PayFlowPA</v>
          </cell>
          <cell r="D3" t="str">
            <v>Numero</v>
          </cell>
          <cell r="E3">
            <v>8</v>
          </cell>
          <cell r="F3"/>
          <cell r="G3" t="str">
            <v>Enti riusanti (effettivi)</v>
          </cell>
          <cell r="H3"/>
        </row>
        <row r="4">
          <cell r="B4" t="str">
            <v>A3.6</v>
          </cell>
          <cell r="C4" t="str">
            <v>Enti aderenti al sistema PayFlowPA</v>
          </cell>
          <cell r="D4" t="str">
            <v>Numero</v>
          </cell>
          <cell r="E4">
            <v>8</v>
          </cell>
          <cell r="F4"/>
          <cell r="G4" t="str">
            <v>Enti riusanti (effettivi)</v>
          </cell>
          <cell r="H4"/>
        </row>
        <row r="5">
          <cell r="B5" t="str">
            <v>A4.5</v>
          </cell>
          <cell r="C5" t="str">
            <v>Numero di installazioni delle evoluzioni (prevista uno per ogni ente riusante)</v>
          </cell>
          <cell r="D5" t="str">
            <v>Numero</v>
          </cell>
          <cell r="E5">
            <v>8</v>
          </cell>
          <cell r="F5"/>
          <cell r="G5" t="str">
            <v>Versioni successive e personalizzazioni versione softwsre</v>
          </cell>
          <cell r="H5"/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showGridLines="0" tabSelected="1" view="pageBreakPreview" topLeftCell="A12" zoomScale="60" zoomScaleNormal="100" workbookViewId="0">
      <selection activeCell="M17" sqref="M17"/>
    </sheetView>
  </sheetViews>
  <sheetFormatPr defaultRowHeight="15" outlineLevelRow="1" x14ac:dyDescent="0.25"/>
  <cols>
    <col min="1" max="1" width="10" customWidth="1"/>
    <col min="2" max="2" width="64.28515625" style="1" customWidth="1"/>
    <col min="3" max="3" width="17.140625" customWidth="1"/>
    <col min="4" max="4" width="7.28515625" style="2" bestFit="1" customWidth="1"/>
    <col min="5" max="5" width="12.42578125" customWidth="1"/>
    <col min="6" max="6" width="7.28515625" style="2" bestFit="1" customWidth="1"/>
    <col min="7" max="7" width="1.5703125" customWidth="1"/>
    <col min="8" max="8" width="14.42578125" customWidth="1"/>
    <col min="9" max="9" width="11.7109375" customWidth="1"/>
    <col min="10" max="10" width="11.85546875" customWidth="1"/>
    <col min="11" max="11" width="12.140625" customWidth="1"/>
    <col min="12" max="12" width="23.7109375" customWidth="1"/>
    <col min="13" max="13" width="9.42578125" customWidth="1"/>
    <col min="14" max="14" width="7.28515625" bestFit="1" customWidth="1"/>
    <col min="15" max="15" width="11.42578125" bestFit="1" customWidth="1"/>
    <col min="16" max="16" width="7.28515625" bestFit="1" customWidth="1"/>
    <col min="17" max="17" width="30.5703125" customWidth="1"/>
    <col min="18" max="18" width="48.5703125" customWidth="1"/>
  </cols>
  <sheetData>
    <row r="1" spans="1:17" hidden="1" x14ac:dyDescent="0.25">
      <c r="B1" s="1" t="s">
        <v>0</v>
      </c>
      <c r="I1">
        <v>2018</v>
      </c>
      <c r="K1" t="s">
        <v>1</v>
      </c>
      <c r="L1" t="s">
        <v>2</v>
      </c>
      <c r="M1" t="s">
        <v>3</v>
      </c>
    </row>
    <row r="2" spans="1:17" hidden="1" x14ac:dyDescent="0.25">
      <c r="B2" s="1" t="s">
        <v>4</v>
      </c>
      <c r="I2">
        <v>2019</v>
      </c>
      <c r="K2" t="s">
        <v>5</v>
      </c>
      <c r="L2" t="s">
        <v>6</v>
      </c>
      <c r="M2" t="s">
        <v>7</v>
      </c>
    </row>
    <row r="3" spans="1:17" hidden="1" x14ac:dyDescent="0.25">
      <c r="B3" s="1" t="s">
        <v>8</v>
      </c>
      <c r="I3">
        <v>2020</v>
      </c>
      <c r="K3" t="s">
        <v>9</v>
      </c>
      <c r="L3" t="s">
        <v>10</v>
      </c>
      <c r="M3" t="s">
        <v>11</v>
      </c>
    </row>
    <row r="4" spans="1:17" hidden="1" x14ac:dyDescent="0.25">
      <c r="B4" s="1" t="s">
        <v>12</v>
      </c>
      <c r="K4" t="s">
        <v>13</v>
      </c>
    </row>
    <row r="5" spans="1:17" hidden="1" x14ac:dyDescent="0.25">
      <c r="B5" s="1" t="s">
        <v>14</v>
      </c>
    </row>
    <row r="6" spans="1:17" hidden="1" x14ac:dyDescent="0.25">
      <c r="B6" s="1" t="s">
        <v>15</v>
      </c>
    </row>
    <row r="7" spans="1:17" hidden="1" x14ac:dyDescent="0.25">
      <c r="B7" s="1" t="s">
        <v>16</v>
      </c>
    </row>
    <row r="8" spans="1:17" hidden="1" x14ac:dyDescent="0.25">
      <c r="B8" s="1" t="s">
        <v>17</v>
      </c>
    </row>
    <row r="9" spans="1:17" hidden="1" x14ac:dyDescent="0.25">
      <c r="B9" s="1" t="s">
        <v>18</v>
      </c>
    </row>
    <row r="10" spans="1:17" hidden="1" x14ac:dyDescent="0.25">
      <c r="B10" s="1" t="s">
        <v>19</v>
      </c>
    </row>
    <row r="11" spans="1:17" hidden="1" x14ac:dyDescent="0.25">
      <c r="B11" s="1" t="s">
        <v>20</v>
      </c>
    </row>
    <row r="13" spans="1:17" s="5" customFormat="1" ht="18.75" x14ac:dyDescent="0.3">
      <c r="A13" s="3" t="s">
        <v>21</v>
      </c>
      <c r="B13" s="4"/>
      <c r="D13" s="6"/>
      <c r="F13" s="6"/>
      <c r="H13" s="3" t="s">
        <v>22</v>
      </c>
      <c r="I13" s="7"/>
      <c r="J13" s="3" t="s">
        <v>23</v>
      </c>
      <c r="K13" s="8"/>
    </row>
    <row r="15" spans="1:17" s="12" customFormat="1" ht="47.25" x14ac:dyDescent="0.25">
      <c r="A15" s="9" t="s">
        <v>24</v>
      </c>
      <c r="B15" s="10" t="s">
        <v>25</v>
      </c>
      <c r="C15" s="11" t="s">
        <v>26</v>
      </c>
      <c r="D15" s="11" t="s">
        <v>27</v>
      </c>
      <c r="E15" s="11" t="s">
        <v>28</v>
      </c>
      <c r="F15" s="11" t="s">
        <v>29</v>
      </c>
      <c r="H15" s="11" t="s">
        <v>30</v>
      </c>
      <c r="I15" s="11" t="s">
        <v>31</v>
      </c>
      <c r="J15" s="11" t="s">
        <v>32</v>
      </c>
      <c r="K15" s="11" t="s">
        <v>33</v>
      </c>
      <c r="L15" s="11" t="s">
        <v>34</v>
      </c>
      <c r="M15" s="11" t="s">
        <v>35</v>
      </c>
      <c r="N15" s="11" t="s">
        <v>27</v>
      </c>
      <c r="O15" s="11" t="s">
        <v>36</v>
      </c>
      <c r="P15" s="11" t="s">
        <v>29</v>
      </c>
      <c r="Q15" s="11" t="s">
        <v>37</v>
      </c>
    </row>
    <row r="16" spans="1:17" ht="45" x14ac:dyDescent="0.25">
      <c r="A16" s="13" t="s">
        <v>38</v>
      </c>
      <c r="B16" s="14" t="s">
        <v>39</v>
      </c>
      <c r="C16" s="15"/>
      <c r="D16" s="15"/>
      <c r="E16" s="15"/>
      <c r="F16" s="15"/>
      <c r="H16" s="16">
        <f>SUM(H17:H24)</f>
        <v>0</v>
      </c>
      <c r="I16" s="16">
        <f>SUM(I17:I24)</f>
        <v>0</v>
      </c>
      <c r="J16" s="16">
        <f>SUM(J17:J24)</f>
        <v>0</v>
      </c>
      <c r="K16" s="16"/>
      <c r="L16" s="16"/>
      <c r="M16" s="16"/>
      <c r="N16" s="16"/>
      <c r="O16" s="16"/>
      <c r="P16" s="16"/>
      <c r="Q16" s="16"/>
    </row>
    <row r="17" spans="1:17" s="21" customFormat="1" ht="63.75" outlineLevel="1" x14ac:dyDescent="0.25">
      <c r="A17" s="17" t="s">
        <v>40</v>
      </c>
      <c r="B17" s="18" t="s">
        <v>41</v>
      </c>
      <c r="C17" s="18" t="str">
        <f>VLOOKUP(A17,'[1]Riepilogo IO'!$A$1:$G$30,2,FALSE)</f>
        <v>Verbale di incontro di kick-off del Comitato Guida</v>
      </c>
      <c r="D17" s="19" t="str">
        <f>VLOOKUP(A17,'[1]Riepilogo IO'!$A$1:$G$30,4,FALSE)</f>
        <v>SI</v>
      </c>
      <c r="E17" s="20" t="str">
        <f>IFERROR(VLOOKUP(A17,'[1]Riepilogo IR'!$B$1:$H$5,2,FALSE),"non richiesto")</f>
        <v>non richiesto</v>
      </c>
      <c r="F17" s="20" t="str">
        <f>IFERROR(VLOOKUP(A17,'[1]Riepilogo IR'!$B$1:$H$5,4,FALSE),"")</f>
        <v/>
      </c>
      <c r="H17" s="22"/>
      <c r="I17" s="22"/>
      <c r="J17" s="22"/>
      <c r="K17" s="22"/>
      <c r="L17" s="22"/>
      <c r="M17" s="22"/>
      <c r="N17" s="22"/>
      <c r="O17" s="20" t="str">
        <f t="shared" ref="O17:O31" si="0">E17</f>
        <v>non richiesto</v>
      </c>
      <c r="P17" s="20"/>
      <c r="Q17" s="22"/>
    </row>
    <row r="18" spans="1:17" s="21" customFormat="1" ht="51" outlineLevel="1" x14ac:dyDescent="0.25">
      <c r="A18" s="17" t="s">
        <v>42</v>
      </c>
      <c r="B18" s="18" t="s">
        <v>43</v>
      </c>
      <c r="C18" s="18" t="str">
        <f>VLOOKUP(A18,'[1]Riepilogo IO'!$A$1:$G$30,2,FALSE)</f>
        <v>Verbale di incontro di kick-off del Tavolo Tecnico</v>
      </c>
      <c r="D18" s="19" t="str">
        <f>VLOOKUP(A18,'[1]Riepilogo IO'!$A$1:$G$30,4,FALSE)</f>
        <v>SI</v>
      </c>
      <c r="E18" s="20" t="str">
        <f>IFERROR(VLOOKUP(A18,'[1]Riepilogo IR'!$B$1:$H$5,2,FALSE),"non richiesto")</f>
        <v>non richiesto</v>
      </c>
      <c r="F18" s="20" t="str">
        <f>IFERROR(VLOOKUP(A18,'[1]Riepilogo IR'!$B$1:$H$5,4,FALSE),"")</f>
        <v/>
      </c>
      <c r="H18" s="22"/>
      <c r="I18" s="22"/>
      <c r="J18" s="22"/>
      <c r="K18" s="22"/>
      <c r="L18" s="22"/>
      <c r="M18" s="22"/>
      <c r="N18" s="22"/>
      <c r="O18" s="20" t="str">
        <f t="shared" si="0"/>
        <v>non richiesto</v>
      </c>
      <c r="P18" s="20"/>
      <c r="Q18" s="22"/>
    </row>
    <row r="19" spans="1:17" s="21" customFormat="1" ht="51" outlineLevel="1" x14ac:dyDescent="0.25">
      <c r="A19" s="17" t="s">
        <v>44</v>
      </c>
      <c r="B19" s="18" t="s">
        <v>45</v>
      </c>
      <c r="C19" s="18" t="str">
        <f>VLOOKUP(A19,'[1]Riepilogo IO'!$A$1:$G$30,2,FALSE)</f>
        <v>Relazione lavori del team di progetto validata dagli enti di partenariato</v>
      </c>
      <c r="D19" s="19" t="str">
        <f>VLOOKUP(A19,'[1]Riepilogo IO'!$A$1:$G$30,4,FALSE)</f>
        <v>SI</v>
      </c>
      <c r="E19" s="20" t="str">
        <f>IFERROR(VLOOKUP(A19,'[1]Riepilogo IR'!$B$1:$H$5,2,FALSE),"non richiesto")</f>
        <v>non richiesto</v>
      </c>
      <c r="F19" s="20" t="str">
        <f>IFERROR(VLOOKUP(A19,'[1]Riepilogo IR'!$B$1:$H$5,4,FALSE),"")</f>
        <v/>
      </c>
      <c r="H19" s="22"/>
      <c r="I19" s="22"/>
      <c r="J19" s="22"/>
      <c r="K19" s="22"/>
      <c r="L19" s="22"/>
      <c r="M19" s="22"/>
      <c r="N19" s="22"/>
      <c r="O19" s="20" t="str">
        <f t="shared" si="0"/>
        <v>non richiesto</v>
      </c>
      <c r="P19" s="20"/>
      <c r="Q19" s="22"/>
    </row>
    <row r="20" spans="1:17" s="21" customFormat="1" ht="51" outlineLevel="1" x14ac:dyDescent="0.25">
      <c r="A20" s="17" t="s">
        <v>46</v>
      </c>
      <c r="B20" s="18" t="s">
        <v>47</v>
      </c>
      <c r="C20" s="18" t="str">
        <f>VLOOKUP(A20,'[1]Riepilogo IO'!$A$1:$G$30,2,FALSE)</f>
        <v>Set di indicatori validato dagli Enti del partenariato</v>
      </c>
      <c r="D20" s="19" t="str">
        <f>VLOOKUP(A20,'[1]Riepilogo IO'!$A$1:$G$30,4,FALSE)</f>
        <v>SI</v>
      </c>
      <c r="E20" s="20" t="str">
        <f>IFERROR(VLOOKUP(A20,'[1]Riepilogo IR'!$B$1:$H$5,2,FALSE),"non richiesto")</f>
        <v>non richiesto</v>
      </c>
      <c r="F20" s="20" t="str">
        <f>IFERROR(VLOOKUP(A20,'[1]Riepilogo IR'!$B$1:$H$5,4,FALSE),"")</f>
        <v/>
      </c>
      <c r="H20" s="22"/>
      <c r="I20" s="22"/>
      <c r="J20" s="22"/>
      <c r="K20" s="22"/>
      <c r="L20" s="22"/>
      <c r="M20" s="22"/>
      <c r="N20" s="22"/>
      <c r="O20" s="20" t="str">
        <f t="shared" si="0"/>
        <v>non richiesto</v>
      </c>
      <c r="P20" s="20"/>
      <c r="Q20" s="22"/>
    </row>
    <row r="21" spans="1:17" s="21" customFormat="1" ht="38.25" outlineLevel="1" x14ac:dyDescent="0.25">
      <c r="A21" s="17" t="s">
        <v>48</v>
      </c>
      <c r="B21" s="18" t="s">
        <v>49</v>
      </c>
      <c r="C21" s="18" t="str">
        <f>VLOOKUP(A21,'[1]Riepilogo IO'!$A$1:$G$30,2,FALSE)</f>
        <v>Documentazione procedure di acquisto</v>
      </c>
      <c r="D21" s="19" t="str">
        <f>VLOOKUP(A21,'[1]Riepilogo IO'!$A$1:$G$30,4,FALSE)</f>
        <v>SI</v>
      </c>
      <c r="E21" s="20" t="str">
        <f>IFERROR(VLOOKUP(A21,'[1]Riepilogo IR'!$B$1:$H$5,2,FALSE),"non richiesto")</f>
        <v>non richiesto</v>
      </c>
      <c r="F21" s="20" t="str">
        <f>IFERROR(VLOOKUP(A21,'[1]Riepilogo IR'!$B$1:$H$5,4,FALSE),"")</f>
        <v/>
      </c>
      <c r="H21" s="22"/>
      <c r="I21" s="22"/>
      <c r="J21" s="22"/>
      <c r="K21" s="22"/>
      <c r="L21" s="22"/>
      <c r="M21" s="22"/>
      <c r="N21" s="22"/>
      <c r="O21" s="20" t="str">
        <f t="shared" si="0"/>
        <v>non richiesto</v>
      </c>
      <c r="P21" s="20"/>
      <c r="Q21" s="22"/>
    </row>
    <row r="22" spans="1:17" s="21" customFormat="1" ht="25.5" outlineLevel="1" x14ac:dyDescent="0.25">
      <c r="A22" s="17" t="s">
        <v>50</v>
      </c>
      <c r="B22" s="18" t="s">
        <v>51</v>
      </c>
      <c r="C22" s="18" t="str">
        <f>VLOOKUP(A22,'[1]Riepilogo IO'!$A$1:$G$30,2,FALSE)</f>
        <v>Verbali di Stato avanzamento lavori</v>
      </c>
      <c r="D22" s="19" t="str">
        <f>VLOOKUP(A22,'[1]Riepilogo IO'!$A$1:$G$30,4,FALSE)</f>
        <v>SI</v>
      </c>
      <c r="E22" s="20" t="str">
        <f>IFERROR(VLOOKUP(A22,'[1]Riepilogo IR'!$B$1:$H$5,2,FALSE),"non richiesto")</f>
        <v>non richiesto</v>
      </c>
      <c r="F22" s="20" t="str">
        <f>IFERROR(VLOOKUP(A22,'[1]Riepilogo IR'!$B$1:$H$5,4,FALSE),"")</f>
        <v/>
      </c>
      <c r="H22" s="22"/>
      <c r="I22" s="22"/>
      <c r="J22" s="22"/>
      <c r="K22" s="22"/>
      <c r="L22" s="22"/>
      <c r="M22" s="22"/>
      <c r="N22" s="22"/>
      <c r="O22" s="20" t="str">
        <f t="shared" si="0"/>
        <v>non richiesto</v>
      </c>
      <c r="P22" s="20"/>
      <c r="Q22" s="22"/>
    </row>
    <row r="23" spans="1:17" s="21" customFormat="1" ht="63.75" outlineLevel="1" x14ac:dyDescent="0.25">
      <c r="A23" s="17" t="s">
        <v>52</v>
      </c>
      <c r="B23" s="18" t="s">
        <v>53</v>
      </c>
      <c r="C23" s="18" t="str">
        <f>VLOOKUP(A23,'[1]Riepilogo IO'!$A$1:$G$30,2,FALSE)</f>
        <v>Piani di lavoro e relativi aggiornamenti</v>
      </c>
      <c r="D23" s="19" t="str">
        <f>VLOOKUP(A23,'[1]Riepilogo IO'!$A$1:$G$30,4,FALSE)</f>
        <v>SI</v>
      </c>
      <c r="E23" s="20" t="str">
        <f>IFERROR(VLOOKUP(A23,'[1]Riepilogo IR'!$B$1:$H$5,2,FALSE),"non richiesto")</f>
        <v>non richiesto</v>
      </c>
      <c r="F23" s="20" t="str">
        <f>IFERROR(VLOOKUP(A23,'[1]Riepilogo IR'!$B$1:$H$5,4,FALSE),"")</f>
        <v/>
      </c>
      <c r="H23" s="22"/>
      <c r="I23" s="22"/>
      <c r="J23" s="22"/>
      <c r="K23" s="22"/>
      <c r="L23" s="22"/>
      <c r="M23" s="22"/>
      <c r="N23" s="22"/>
      <c r="O23" s="20" t="str">
        <f t="shared" si="0"/>
        <v>non richiesto</v>
      </c>
      <c r="P23" s="20"/>
      <c r="Q23" s="22"/>
    </row>
    <row r="24" spans="1:17" s="21" customFormat="1" ht="25.5" outlineLevel="1" x14ac:dyDescent="0.25">
      <c r="A24" s="17" t="s">
        <v>54</v>
      </c>
      <c r="B24" s="18" t="s">
        <v>55</v>
      </c>
      <c r="C24" s="18" t="str">
        <f>VLOOKUP(A24,'[1]Riepilogo IO'!$A$1:$G$30,2,FALSE)</f>
        <v>Documenti per la rendicontazione</v>
      </c>
      <c r="D24" s="19" t="str">
        <f>VLOOKUP(A24,'[1]Riepilogo IO'!$A$1:$G$30,4,FALSE)</f>
        <v>SI</v>
      </c>
      <c r="E24" s="20" t="str">
        <f>IFERROR(VLOOKUP(A24,'[1]Riepilogo IR'!$B$1:$H$5,2,FALSE),"non richiesto")</f>
        <v>non richiesto</v>
      </c>
      <c r="F24" s="20" t="str">
        <f>IFERROR(VLOOKUP(A24,'[1]Riepilogo IR'!$B$1:$H$5,4,FALSE),"")</f>
        <v/>
      </c>
      <c r="H24" s="22"/>
      <c r="I24" s="22"/>
      <c r="J24" s="22"/>
      <c r="K24" s="22"/>
      <c r="L24" s="22"/>
      <c r="M24" s="22"/>
      <c r="N24" s="22"/>
      <c r="O24" s="20" t="str">
        <f t="shared" si="0"/>
        <v>non richiesto</v>
      </c>
      <c r="P24" s="20"/>
      <c r="Q24" s="22"/>
    </row>
    <row r="25" spans="1:17" s="27" customFormat="1" ht="45" x14ac:dyDescent="0.25">
      <c r="A25" s="23" t="s">
        <v>56</v>
      </c>
      <c r="B25" s="24" t="s">
        <v>57</v>
      </c>
      <c r="C25" s="25"/>
      <c r="D25" s="26"/>
      <c r="E25" s="25" t="str">
        <f>IFERROR(VLOOKUP(A25,'[1]Riepilogo IR'!$B$1:$H$5,2,FALSE),"")</f>
        <v/>
      </c>
      <c r="F25" s="26"/>
      <c r="H25" s="25">
        <f>SUM(H26:H31)</f>
        <v>0</v>
      </c>
      <c r="I25" s="25">
        <f t="shared" ref="I25:J25" si="1">SUM(I26:I31)</f>
        <v>0</v>
      </c>
      <c r="J25" s="25">
        <f t="shared" si="1"/>
        <v>0</v>
      </c>
      <c r="K25" s="25"/>
      <c r="L25" s="25"/>
      <c r="M25" s="16"/>
      <c r="N25" s="16"/>
      <c r="O25" s="25" t="str">
        <f t="shared" si="0"/>
        <v/>
      </c>
      <c r="P25" s="25"/>
      <c r="Q25" s="25"/>
    </row>
    <row r="26" spans="1:17" s="21" customFormat="1" ht="102" outlineLevel="1" x14ac:dyDescent="0.25">
      <c r="A26" s="17" t="s">
        <v>58</v>
      </c>
      <c r="B26" s="18" t="s">
        <v>59</v>
      </c>
      <c r="C26" s="18" t="str">
        <f>VLOOKUP(A26,'[1]Riepilogo IO'!$A$1:$G$30,2,FALSE)</f>
        <v>Numero di report di analisi dei fattori organizzativi, tecnologici, amministrativi, normativi o regolamentari previsti</v>
      </c>
      <c r="D26" s="19">
        <f>VLOOKUP(A26,'[1]Riepilogo IO'!$A$1:$G$30,4,FALSE)</f>
        <v>8</v>
      </c>
      <c r="E26" s="20" t="str">
        <f>IFERROR(VLOOKUP(A26,'[1]Riepilogo IR'!$B$1:$H$5,2,FALSE),"non richiesto")</f>
        <v>non richiesto</v>
      </c>
      <c r="F26" s="20" t="str">
        <f>IFERROR(VLOOKUP(A26,'[1]Riepilogo IR'!$B$1:$H$5,4,FALSE),"")</f>
        <v/>
      </c>
      <c r="H26" s="22"/>
      <c r="I26" s="22"/>
      <c r="J26" s="22"/>
      <c r="K26" s="22"/>
      <c r="L26" s="22"/>
      <c r="M26" s="22"/>
      <c r="N26" s="22"/>
      <c r="O26" s="20" t="str">
        <f t="shared" si="0"/>
        <v>non richiesto</v>
      </c>
      <c r="P26" s="20"/>
      <c r="Q26" s="22"/>
    </row>
    <row r="27" spans="1:17" s="21" customFormat="1" ht="63.75" outlineLevel="1" x14ac:dyDescent="0.25">
      <c r="A27" s="17" t="s">
        <v>60</v>
      </c>
      <c r="B27" s="18" t="s">
        <v>61</v>
      </c>
      <c r="C27" s="18" t="str">
        <f>VLOOKUP(A27,'[1]Riepilogo IO'!$A$1:$G$30,2,FALSE)</f>
        <v>Documento di analisi tempi e costi per l'adozione e la gestione a regime della buona pratica</v>
      </c>
      <c r="D27" s="19" t="str">
        <f>VLOOKUP(A27,'[1]Riepilogo IO'!$A$1:$G$30,4,FALSE)</f>
        <v>SI</v>
      </c>
      <c r="E27" s="20" t="str">
        <f>IFERROR(VLOOKUP(A27,'[1]Riepilogo IR'!$B$1:$H$5,2,FALSE),"non richiesto")</f>
        <v>non richiesto</v>
      </c>
      <c r="F27" s="20" t="str">
        <f>IFERROR(VLOOKUP(A27,'[1]Riepilogo IR'!$B$1:$H$5,4,FALSE),"")</f>
        <v/>
      </c>
      <c r="H27" s="22"/>
      <c r="I27" s="22"/>
      <c r="J27" s="22"/>
      <c r="K27" s="22"/>
      <c r="L27" s="22"/>
      <c r="M27" s="22"/>
      <c r="N27" s="22"/>
      <c r="O27" s="20" t="str">
        <f t="shared" si="0"/>
        <v>non richiesto</v>
      </c>
      <c r="P27" s="20"/>
      <c r="Q27" s="22"/>
    </row>
    <row r="28" spans="1:17" s="21" customFormat="1" ht="89.25" outlineLevel="1" x14ac:dyDescent="0.25">
      <c r="A28" s="17" t="s">
        <v>62</v>
      </c>
      <c r="B28" s="18" t="s">
        <v>63</v>
      </c>
      <c r="C28" s="18" t="str">
        <f>VLOOKUP(A28,'[1]Riepilogo IO'!$A$1:$G$30,2,FALSE)</f>
        <v>Disponibilità delle componenti del kit di riuso costituito almeno da 1) Codice sorgente e codice compilato disponibile</v>
      </c>
      <c r="D28" s="19" t="str">
        <f>VLOOKUP(A28,'[1]Riepilogo IO'!$A$1:$G$30,4,FALSE)</f>
        <v>SI</v>
      </c>
      <c r="E28" s="20" t="str">
        <f>IFERROR(VLOOKUP(A28,'[1]Riepilogo IR'!$B$1:$H$5,2,FALSE),"non richiesto")</f>
        <v>non richiesto</v>
      </c>
      <c r="F28" s="20" t="str">
        <f>IFERROR(VLOOKUP(A28,'[1]Riepilogo IR'!$B$1:$H$5,4,FALSE),"")</f>
        <v/>
      </c>
      <c r="H28" s="22"/>
      <c r="I28" s="22"/>
      <c r="J28" s="22"/>
      <c r="K28" s="22"/>
      <c r="L28" s="22"/>
      <c r="M28" s="22"/>
      <c r="N28" s="22"/>
      <c r="O28" s="20" t="str">
        <f t="shared" si="0"/>
        <v>non richiesto</v>
      </c>
      <c r="P28" s="20"/>
      <c r="Q28" s="22"/>
    </row>
    <row r="29" spans="1:17" s="21" customFormat="1" ht="51" outlineLevel="1" x14ac:dyDescent="0.25">
      <c r="A29" s="17" t="s">
        <v>64</v>
      </c>
      <c r="B29" s="18" t="s">
        <v>65</v>
      </c>
      <c r="C29" s="18" t="str">
        <f>VLOOKUP(A29,'[1]Riepilogo IO'!$A$1:$G$30,2,FALSE)</f>
        <v>Documentazione finale del kit di riuso e FAQ per gli Enti riusanti</v>
      </c>
      <c r="D29" s="19" t="str">
        <f>VLOOKUP(A29,'[1]Riepilogo IO'!$A$1:$G$30,4,FALSE)</f>
        <v>SI</v>
      </c>
      <c r="E29" s="20" t="str">
        <f>IFERROR(VLOOKUP(A29,'[1]Riepilogo IR'!$B$1:$H$5,2,FALSE),"non richiesto")</f>
        <v>non richiesto</v>
      </c>
      <c r="F29" s="20" t="str">
        <f>IFERROR(VLOOKUP(A29,'[1]Riepilogo IR'!$B$1:$H$5,4,FALSE),"")</f>
        <v/>
      </c>
      <c r="H29" s="22"/>
      <c r="I29" s="22"/>
      <c r="J29" s="22"/>
      <c r="K29" s="22"/>
      <c r="L29" s="22"/>
      <c r="M29" s="22"/>
      <c r="N29" s="22"/>
      <c r="O29" s="20" t="str">
        <f t="shared" si="0"/>
        <v>non richiesto</v>
      </c>
      <c r="P29" s="20"/>
      <c r="Q29" s="22"/>
    </row>
    <row r="30" spans="1:17" s="21" customFormat="1" ht="63.75" outlineLevel="1" x14ac:dyDescent="0.25">
      <c r="A30" s="17" t="s">
        <v>66</v>
      </c>
      <c r="B30" s="18" t="s">
        <v>67</v>
      </c>
      <c r="C30" s="18" t="str">
        <f>VLOOKUP(A30,'[1]Riepilogo IO'!$A$1:$G$30,2,FALSE)</f>
        <v>Piano di adozione</v>
      </c>
      <c r="D30" s="19" t="str">
        <f>VLOOKUP(A30,'[1]Riepilogo IO'!$A$1:$G$30,4,FALSE)</f>
        <v>SI</v>
      </c>
      <c r="E30" s="20" t="str">
        <f>IFERROR(VLOOKUP(A30,'[1]Riepilogo IR'!$B$1:$H$5,2,FALSE),"non richiesto")</f>
        <v>non richiesto</v>
      </c>
      <c r="F30" s="20" t="str">
        <f>IFERROR(VLOOKUP(A30,'[1]Riepilogo IR'!$B$1:$H$5,4,FALSE),"")</f>
        <v/>
      </c>
      <c r="H30" s="22"/>
      <c r="I30" s="22"/>
      <c r="J30" s="22"/>
      <c r="K30" s="22"/>
      <c r="L30" s="22"/>
      <c r="M30" s="22"/>
      <c r="N30" s="22"/>
      <c r="O30" s="20" t="str">
        <f t="shared" si="0"/>
        <v>non richiesto</v>
      </c>
      <c r="P30" s="20"/>
      <c r="Q30" s="22"/>
    </row>
    <row r="31" spans="1:17" s="21" customFormat="1" ht="89.25" outlineLevel="1" x14ac:dyDescent="0.25">
      <c r="A31" s="17" t="s">
        <v>68</v>
      </c>
      <c r="B31" s="18" t="s">
        <v>69</v>
      </c>
      <c r="C31" s="18" t="e">
        <f>VLOOKUP(A31,'[1]Riepilogo IO'!$A$1:$G$30,2,FALSE)</f>
        <v>#N/A</v>
      </c>
      <c r="D31" s="19" t="e">
        <f>VLOOKUP(A31,'[1]Riepilogo IO'!$A$1:$G$30,4,FALSE)</f>
        <v>#N/A</v>
      </c>
      <c r="E31" s="20" t="str">
        <f>IFERROR(VLOOKUP(A31,'[1]Riepilogo IR'!$B$1:$H$5,2,FALSE),"non richiesto")</f>
        <v>non richiesto</v>
      </c>
      <c r="F31" s="20" t="str">
        <f>IFERROR(VLOOKUP(A31,'[1]Riepilogo IR'!$B$1:$H$5,4,FALSE),"")</f>
        <v/>
      </c>
      <c r="H31" s="22"/>
      <c r="I31" s="22"/>
      <c r="J31" s="22"/>
      <c r="K31" s="22"/>
      <c r="L31" s="22"/>
      <c r="M31" s="22"/>
      <c r="N31" s="22"/>
      <c r="O31" s="20" t="str">
        <f t="shared" si="0"/>
        <v>non richiesto</v>
      </c>
      <c r="P31" s="20"/>
      <c r="Q31" s="22"/>
    </row>
    <row r="32" spans="1:17" s="27" customFormat="1" ht="45" x14ac:dyDescent="0.25">
      <c r="A32" s="23" t="s">
        <v>70</v>
      </c>
      <c r="B32" s="24" t="s">
        <v>71</v>
      </c>
      <c r="C32" s="25"/>
      <c r="D32" s="26"/>
      <c r="E32" s="26"/>
      <c r="F32" s="26"/>
      <c r="H32" s="25">
        <f>SUM(H33:H38)</f>
        <v>0</v>
      </c>
      <c r="I32" s="25">
        <f t="shared" ref="I32:J32" si="2">SUM(I33:I38)</f>
        <v>0</v>
      </c>
      <c r="J32" s="25">
        <f t="shared" si="2"/>
        <v>0</v>
      </c>
      <c r="K32" s="25"/>
      <c r="L32" s="25"/>
      <c r="M32" s="16"/>
      <c r="N32" s="16"/>
      <c r="O32" s="25"/>
      <c r="P32" s="25"/>
      <c r="Q32" s="25"/>
    </row>
    <row r="33" spans="1:17" s="21" customFormat="1" ht="76.5" outlineLevel="1" x14ac:dyDescent="0.25">
      <c r="A33" s="28" t="s">
        <v>72</v>
      </c>
      <c r="B33" s="29" t="s">
        <v>73</v>
      </c>
      <c r="C33" s="18" t="str">
        <f>VLOOKUP(A33,'[1]Riepilogo IO'!$A$1:$G$30,2,FALSE)</f>
        <v>Comunicazioni attestanti l'approvazione della documentazione amministrativa</v>
      </c>
      <c r="D33" s="19" t="str">
        <f>VLOOKUP(A33,'[1]Riepilogo IO'!$A$1:$G$30,4,FALSE)</f>
        <v>SI</v>
      </c>
      <c r="E33" s="20" t="str">
        <f>IFERROR(VLOOKUP(A33,'[1]Riepilogo IR'!$B$1:$H$5,2,FALSE),"non richiesto")</f>
        <v>non richiesto</v>
      </c>
      <c r="F33" s="20" t="str">
        <f>IFERROR(VLOOKUP(A33,'[1]Riepilogo IR'!$B$1:$H$5,4,FALSE),"")</f>
        <v/>
      </c>
      <c r="H33" s="30"/>
      <c r="I33" s="30"/>
      <c r="J33" s="30"/>
      <c r="K33" s="30"/>
      <c r="L33" s="30"/>
      <c r="M33" s="22"/>
      <c r="N33" s="22"/>
      <c r="O33" s="20" t="str">
        <f>E33</f>
        <v>non richiesto</v>
      </c>
      <c r="P33" s="20"/>
      <c r="Q33" s="30"/>
    </row>
    <row r="34" spans="1:17" s="21" customFormat="1" ht="102" outlineLevel="1" x14ac:dyDescent="0.25">
      <c r="A34" s="28" t="s">
        <v>74</v>
      </c>
      <c r="B34" s="29" t="s">
        <v>75</v>
      </c>
      <c r="C34" s="18" t="str">
        <f>VLOOKUP(A34,'[1]Riepilogo IO'!$A$1:$G$30,2,FALSE)</f>
        <v>Relazione relativa alla progettazione e pianificazione delle attività di trasferimento del kit di riuso</v>
      </c>
      <c r="D34" s="19" t="str">
        <f>VLOOKUP(A34,'[1]Riepilogo IO'!$A$1:$G$30,4,FALSE)</f>
        <v>SI</v>
      </c>
      <c r="E34" s="31" t="str">
        <f>IFERROR(VLOOKUP(A34,'[1]Riepilogo IR'!$B$1:$H$5,2,FALSE),"non richiesto")</f>
        <v>Numero di trasferimenti della soluzione PayFlowPA (previsti uno per ogni ente riusante)</v>
      </c>
      <c r="F34" s="31">
        <f>IFERROR(VLOOKUP(A34,'[1]Riepilogo IR'!$B$1:$H$5,4,FALSE),"")</f>
        <v>8</v>
      </c>
      <c r="H34" s="30"/>
      <c r="I34" s="30"/>
      <c r="J34" s="30"/>
      <c r="K34" s="30"/>
      <c r="L34" s="30"/>
      <c r="M34" s="22"/>
      <c r="N34" s="22"/>
      <c r="O34" s="22"/>
      <c r="P34" s="22"/>
      <c r="Q34" s="30"/>
    </row>
    <row r="35" spans="1:17" s="21" customFormat="1" ht="51" outlineLevel="1" x14ac:dyDescent="0.25">
      <c r="A35" s="28" t="s">
        <v>76</v>
      </c>
      <c r="B35" s="29" t="s">
        <v>77</v>
      </c>
      <c r="C35" s="18" t="str">
        <f>VLOOKUP(A35,'[1]Riepilogo IO'!$A$1:$G$30,2,FALSE)</f>
        <v>Numero eventi formativi al personale degli Enti riusanti</v>
      </c>
      <c r="D35" s="19">
        <f>VLOOKUP(A35,'[1]Riepilogo IO'!$A$1:$G$30,4,FALSE)</f>
        <v>8</v>
      </c>
      <c r="E35" s="20" t="str">
        <f>IFERROR(VLOOKUP(A35,'[1]Riepilogo IR'!$B$1:$H$5,2,FALSE),"non richiesto")</f>
        <v>non richiesto</v>
      </c>
      <c r="F35" s="20" t="str">
        <f>IFERROR(VLOOKUP(A35,'[1]Riepilogo IR'!$B$1:$H$5,4,FALSE),"")</f>
        <v/>
      </c>
      <c r="H35" s="30"/>
      <c r="I35" s="30"/>
      <c r="J35" s="30"/>
      <c r="K35" s="30"/>
      <c r="L35" s="30"/>
      <c r="M35" s="22"/>
      <c r="N35" s="22"/>
      <c r="O35" s="20" t="str">
        <f>E35</f>
        <v>non richiesto</v>
      </c>
      <c r="P35" s="20"/>
      <c r="Q35" s="30"/>
    </row>
    <row r="36" spans="1:17" s="21" customFormat="1" ht="63.75" outlineLevel="1" x14ac:dyDescent="0.25">
      <c r="A36" s="28" t="s">
        <v>78</v>
      </c>
      <c r="B36" s="29" t="s">
        <v>79</v>
      </c>
      <c r="C36" s="18" t="str">
        <f>VLOOKUP(A36,'[1]Riepilogo IO'!$A$1:$G$30,2,FALSE)</f>
        <v>Rapporto sulle attività svolte per l'installazione della soluzione PayFlowPA</v>
      </c>
      <c r="D36" s="19">
        <f>VLOOKUP(A36,'[1]Riepilogo IO'!$A$1:$G$30,4,FALSE)</f>
        <v>8</v>
      </c>
      <c r="E36" s="31" t="str">
        <f>IFERROR(VLOOKUP(A36,'[1]Riepilogo IR'!$B$1:$H$5,2,FALSE),"non richiesto")</f>
        <v>Numero di Enti riusanti che hanno installato PayFlowPA</v>
      </c>
      <c r="F36" s="31">
        <f>IFERROR(VLOOKUP(A36,'[1]Riepilogo IR'!$B$1:$H$5,4,FALSE),"")</f>
        <v>8</v>
      </c>
      <c r="H36" s="30"/>
      <c r="I36" s="30"/>
      <c r="J36" s="30"/>
      <c r="K36" s="30"/>
      <c r="L36" s="30"/>
      <c r="M36" s="22"/>
      <c r="N36" s="22"/>
      <c r="O36" s="22"/>
      <c r="P36" s="22"/>
      <c r="Q36" s="30"/>
    </row>
    <row r="37" spans="1:17" s="21" customFormat="1" ht="51" outlineLevel="1" x14ac:dyDescent="0.25">
      <c r="A37" s="28" t="s">
        <v>80</v>
      </c>
      <c r="B37" s="29" t="s">
        <v>81</v>
      </c>
      <c r="C37" s="18" t="str">
        <f>VLOOKUP(A37,'[1]Riepilogo IO'!$A$1:$G$30,2,FALSE)</f>
        <v>Verbale di verifica per ciascuna sessione di test condotta</v>
      </c>
      <c r="D37" s="19" t="str">
        <f>VLOOKUP(A37,'[1]Riepilogo IO'!$A$1:$G$30,4,FALSE)</f>
        <v>SI</v>
      </c>
      <c r="E37" s="20" t="str">
        <f>IFERROR(VLOOKUP(A37,'[1]Riepilogo IR'!$B$1:$H$5,2,FALSE),"non richiesto")</f>
        <v>non richiesto</v>
      </c>
      <c r="F37" s="20" t="str">
        <f>IFERROR(VLOOKUP(A37,'[1]Riepilogo IR'!$B$1:$H$5,4,FALSE),"")</f>
        <v/>
      </c>
      <c r="H37" s="30"/>
      <c r="I37" s="30"/>
      <c r="J37" s="30"/>
      <c r="K37" s="30"/>
      <c r="L37" s="30"/>
      <c r="M37" s="22"/>
      <c r="N37" s="22"/>
      <c r="O37" s="20" t="str">
        <f>E37</f>
        <v>non richiesto</v>
      </c>
      <c r="P37" s="20"/>
      <c r="Q37" s="30"/>
    </row>
    <row r="38" spans="1:17" s="21" customFormat="1" ht="51" outlineLevel="1" x14ac:dyDescent="0.25">
      <c r="A38" s="28" t="s">
        <v>82</v>
      </c>
      <c r="B38" s="29" t="s">
        <v>83</v>
      </c>
      <c r="C38" s="18" t="str">
        <f>VLOOKUP(A38,'[1]Riepilogo IO'!$A$1:$G$30,2,FALSE)</f>
        <v>Relazione relativa all'evoluzione normativa e tecnologica</v>
      </c>
      <c r="D38" s="19">
        <f>VLOOKUP(A38,'[1]Riepilogo IO'!$A$1:$G$30,4,FALSE)</f>
        <v>1</v>
      </c>
      <c r="E38" s="31" t="str">
        <f>IFERROR(VLOOKUP(A38,'[1]Riepilogo IR'!$B$1:$H$5,2,FALSE),"non richiesto")</f>
        <v>Enti aderenti al sistema PayFlowPA</v>
      </c>
      <c r="F38" s="31">
        <f>IFERROR(VLOOKUP(A38,'[1]Riepilogo IR'!$B$1:$H$5,4,FALSE),"")</f>
        <v>8</v>
      </c>
      <c r="H38" s="30"/>
      <c r="I38" s="30"/>
      <c r="J38" s="30"/>
      <c r="K38" s="30"/>
      <c r="L38" s="30"/>
      <c r="M38" s="22"/>
      <c r="N38" s="22"/>
      <c r="O38" s="22"/>
      <c r="P38" s="22"/>
      <c r="Q38" s="30"/>
    </row>
    <row r="39" spans="1:17" s="27" customFormat="1" ht="45" x14ac:dyDescent="0.25">
      <c r="A39" s="23" t="s">
        <v>84</v>
      </c>
      <c r="B39" s="24" t="s">
        <v>85</v>
      </c>
      <c r="C39" s="25"/>
      <c r="D39" s="26"/>
      <c r="E39" s="25" t="str">
        <f>IFERROR(VLOOKUP(A39,'[1]Riepilogo IR'!$B$1:$H$5,2,FALSE),"")</f>
        <v/>
      </c>
      <c r="F39" s="26"/>
      <c r="H39" s="25">
        <f>SUM(H40:H44)</f>
        <v>0</v>
      </c>
      <c r="I39" s="25">
        <f t="shared" ref="I39:J39" si="3">SUM(I40:I44)</f>
        <v>0</v>
      </c>
      <c r="J39" s="25">
        <f t="shared" si="3"/>
        <v>0</v>
      </c>
      <c r="K39" s="25"/>
      <c r="L39" s="25"/>
      <c r="M39" s="16"/>
      <c r="N39" s="16"/>
      <c r="O39" s="16"/>
      <c r="P39" s="16"/>
      <c r="Q39" s="25"/>
    </row>
    <row r="40" spans="1:17" s="21" customFormat="1" ht="76.5" outlineLevel="1" x14ac:dyDescent="0.25">
      <c r="A40" s="28" t="s">
        <v>86</v>
      </c>
      <c r="B40" s="29" t="s">
        <v>87</v>
      </c>
      <c r="C40" s="18" t="str">
        <f>VLOOKUP(A40,'[1]Riepilogo IO'!$A$1:$G$30,2,FALSE)</f>
        <v>Reportistica relativa all'evoluzione normativa e tecnologica</v>
      </c>
      <c r="D40" s="19" t="str">
        <f>VLOOKUP(A40,'[1]Riepilogo IO'!$A$1:$G$30,4,FALSE)</f>
        <v>SI</v>
      </c>
      <c r="E40" s="20" t="str">
        <f>IFERROR(VLOOKUP(A40,'[1]Riepilogo IR'!$B$1:$H$5,2,FALSE),"non richiesto")</f>
        <v>non richiesto</v>
      </c>
      <c r="F40" s="20" t="str">
        <f>IFERROR(VLOOKUP(A40,'[1]Riepilogo IR'!$B$1:$H$5,4,FALSE),"")</f>
        <v/>
      </c>
      <c r="H40" s="30"/>
      <c r="I40" s="30"/>
      <c r="J40" s="30"/>
      <c r="K40" s="22"/>
      <c r="L40" s="30"/>
      <c r="M40" s="22"/>
      <c r="N40" s="22"/>
      <c r="O40" s="20" t="str">
        <f>E40</f>
        <v>non richiesto</v>
      </c>
      <c r="P40" s="20"/>
      <c r="Q40" s="30"/>
    </row>
    <row r="41" spans="1:17" s="21" customFormat="1" ht="25.5" outlineLevel="1" x14ac:dyDescent="0.25">
      <c r="A41" s="28" t="s">
        <v>88</v>
      </c>
      <c r="B41" s="29" t="s">
        <v>89</v>
      </c>
      <c r="C41" s="18" t="str">
        <f>VLOOKUP(A41,'[1]Riepilogo IO'!$A$1:$G$30,2,FALSE)</f>
        <v>Progetti esecutivi evoluzioni</v>
      </c>
      <c r="D41" s="19" t="str">
        <f>VLOOKUP(A41,'[1]Riepilogo IO'!$A$1:$G$30,4,FALSE)</f>
        <v>SI</v>
      </c>
      <c r="E41" s="20" t="str">
        <f>IFERROR(VLOOKUP(A41,'[1]Riepilogo IR'!$B$1:$H$5,2,FALSE),"non richiesto")</f>
        <v>non richiesto</v>
      </c>
      <c r="F41" s="20" t="str">
        <f>IFERROR(VLOOKUP(A41,'[1]Riepilogo IR'!$B$1:$H$5,4,FALSE),"")</f>
        <v/>
      </c>
      <c r="H41" s="30"/>
      <c r="I41" s="30"/>
      <c r="J41" s="30"/>
      <c r="K41" s="22"/>
      <c r="L41" s="30"/>
      <c r="M41" s="22"/>
      <c r="N41" s="22"/>
      <c r="O41" s="20" t="str">
        <f>E41</f>
        <v>non richiesto</v>
      </c>
      <c r="P41" s="20"/>
      <c r="Q41" s="30"/>
    </row>
    <row r="42" spans="1:17" s="21" customFormat="1" ht="63.75" outlineLevel="1" x14ac:dyDescent="0.25">
      <c r="A42" s="28" t="s">
        <v>90</v>
      </c>
      <c r="B42" s="29" t="s">
        <v>91</v>
      </c>
      <c r="C42" s="18" t="str">
        <f>VLOOKUP(A42,'[1]Riepilogo IO'!$A$1:$G$30,2,FALSE)</f>
        <v xml:space="preserve">Verbali di approvazione dei progetti esecutivi da parte degli organi di governance </v>
      </c>
      <c r="D42" s="19" t="str">
        <f>VLOOKUP(A42,'[1]Riepilogo IO'!$A$1:$G$30,4,FALSE)</f>
        <v>SI</v>
      </c>
      <c r="E42" s="20" t="str">
        <f>IFERROR(VLOOKUP(A42,'[1]Riepilogo IR'!$B$1:$H$5,2,FALSE),"non richiesto")</f>
        <v>non richiesto</v>
      </c>
      <c r="F42" s="20" t="str">
        <f>IFERROR(VLOOKUP(A42,'[1]Riepilogo IR'!$B$1:$H$5,4,FALSE),"")</f>
        <v/>
      </c>
      <c r="H42" s="30"/>
      <c r="I42" s="30"/>
      <c r="J42" s="30"/>
      <c r="K42" s="22"/>
      <c r="L42" s="30"/>
      <c r="M42" s="22"/>
      <c r="N42" s="22"/>
      <c r="O42" s="20" t="str">
        <f>E42</f>
        <v>non richiesto</v>
      </c>
      <c r="P42" s="20"/>
      <c r="Q42" s="30"/>
    </row>
    <row r="43" spans="1:17" s="21" customFormat="1" ht="76.5" outlineLevel="1" x14ac:dyDescent="0.25">
      <c r="A43" s="28" t="s">
        <v>92</v>
      </c>
      <c r="B43" s="29" t="s">
        <v>93</v>
      </c>
      <c r="C43" s="18" t="str">
        <f>VLOOKUP(A43,'[1]Riepilogo IO'!$A$1:$G$30,2,FALSE)</f>
        <v>Reportistica delle attività di sviluppo delle evoluzioni e verbale di approvazione degli interventi evolutivi</v>
      </c>
      <c r="D43" s="19" t="str">
        <f>VLOOKUP(A43,'[1]Riepilogo IO'!$A$1:$G$30,4,FALSE)</f>
        <v>SI</v>
      </c>
      <c r="E43" s="20" t="str">
        <f>IFERROR(VLOOKUP(A43,'[1]Riepilogo IR'!$B$1:$H$5,2,FALSE),"non richiesto")</f>
        <v>non richiesto</v>
      </c>
      <c r="F43" s="20" t="str">
        <f>IFERROR(VLOOKUP(A43,'[1]Riepilogo IR'!$B$1:$H$5,4,FALSE),"")</f>
        <v/>
      </c>
      <c r="H43" s="30"/>
      <c r="I43" s="30"/>
      <c r="J43" s="30"/>
      <c r="K43" s="22"/>
      <c r="L43" s="30"/>
      <c r="M43" s="22"/>
      <c r="N43" s="22"/>
      <c r="O43" s="20" t="str">
        <f>E43</f>
        <v>non richiesto</v>
      </c>
      <c r="P43" s="20"/>
      <c r="Q43" s="30"/>
    </row>
    <row r="44" spans="1:17" s="21" customFormat="1" ht="89.25" outlineLevel="1" x14ac:dyDescent="0.25">
      <c r="A44" s="28" t="s">
        <v>94</v>
      </c>
      <c r="B44" s="29" t="s">
        <v>95</v>
      </c>
      <c r="C44" s="18" t="str">
        <f>VLOOKUP(A44,'[1]Riepilogo IO'!$A$1:$G$30,2,FALSE)</f>
        <v>Documenti di collaudo evoluzioni</v>
      </c>
      <c r="D44" s="19" t="str">
        <f>VLOOKUP(A44,'[1]Riepilogo IO'!$A$1:$G$30,4,FALSE)</f>
        <v>SI</v>
      </c>
      <c r="E44" s="31" t="str">
        <f>IFERROR(VLOOKUP(A44,'[1]Riepilogo IR'!$B$1:$H$5,2,FALSE),"non richiesto")</f>
        <v>Numero di installazioni delle evoluzioni (prevista uno per ogni ente riusante)</v>
      </c>
      <c r="F44" s="31">
        <f>IFERROR(VLOOKUP(A44,'[1]Riepilogo IR'!$B$1:$H$5,4,FALSE),"")</f>
        <v>8</v>
      </c>
      <c r="H44" s="30"/>
      <c r="I44" s="30"/>
      <c r="J44" s="30"/>
      <c r="K44" s="22"/>
      <c r="L44" s="30"/>
      <c r="M44" s="22"/>
      <c r="N44" s="22"/>
      <c r="O44" s="22"/>
      <c r="P44" s="22"/>
      <c r="Q44" s="30"/>
    </row>
    <row r="45" spans="1:17" s="27" customFormat="1" ht="30" x14ac:dyDescent="0.25">
      <c r="A45" s="23" t="s">
        <v>96</v>
      </c>
      <c r="B45" s="24" t="s">
        <v>97</v>
      </c>
      <c r="C45" s="25"/>
      <c r="D45" s="26"/>
      <c r="E45" s="25" t="str">
        <f>IFERROR(VLOOKUP(A45,'[1]Riepilogo IR'!$B$1:$H$5,2,FALSE),"")</f>
        <v/>
      </c>
      <c r="F45" s="26"/>
      <c r="H45" s="25">
        <f>SUM(H46:H50)</f>
        <v>0</v>
      </c>
      <c r="I45" s="25">
        <f t="shared" ref="I45:J45" si="4">SUM(I46:I50)</f>
        <v>0</v>
      </c>
      <c r="J45" s="25">
        <f t="shared" si="4"/>
        <v>0</v>
      </c>
      <c r="K45" s="25"/>
      <c r="L45" s="25"/>
      <c r="M45" s="16"/>
      <c r="N45" s="16"/>
      <c r="O45" s="16"/>
      <c r="P45" s="16"/>
      <c r="Q45" s="25"/>
    </row>
    <row r="46" spans="1:17" s="21" customFormat="1" ht="63.75" outlineLevel="1" x14ac:dyDescent="0.25">
      <c r="A46" s="17" t="s">
        <v>98</v>
      </c>
      <c r="B46" s="18" t="s">
        <v>99</v>
      </c>
      <c r="C46" s="18" t="str">
        <f>VLOOKUP(A46,'[1]Riepilogo IO'!$A$1:$G$30,2,FALSE)</f>
        <v>Piano di disseminazione e valorizzazione</v>
      </c>
      <c r="D46" s="19">
        <f>VLOOKUP(A46,'[1]Riepilogo IO'!$A$1:$G$30,4,FALSE)</f>
        <v>1</v>
      </c>
      <c r="E46" s="20" t="str">
        <f>IFERROR(VLOOKUP(A46,'[1]Riepilogo IR'!$B$1:$H$5,2,FALSE),"non richiesto")</f>
        <v>non richiesto</v>
      </c>
      <c r="F46" s="20" t="str">
        <f>IFERROR(VLOOKUP(A46,'[1]Riepilogo IR'!$B$1:$H$5,4,FALSE),"")</f>
        <v/>
      </c>
      <c r="H46" s="17"/>
      <c r="I46" s="17"/>
      <c r="J46" s="17"/>
      <c r="K46" s="22"/>
      <c r="L46" s="17"/>
      <c r="M46" s="22"/>
      <c r="N46" s="22"/>
      <c r="O46" s="20" t="str">
        <f>E46</f>
        <v>non richiesto</v>
      </c>
      <c r="P46" s="20"/>
      <c r="Q46" s="17"/>
    </row>
    <row r="47" spans="1:17" s="21" customFormat="1" ht="38.25" outlineLevel="1" x14ac:dyDescent="0.25">
      <c r="A47" s="17" t="s">
        <v>100</v>
      </c>
      <c r="B47" s="18" t="s">
        <v>101</v>
      </c>
      <c r="C47" s="18" t="str">
        <f>VLOOKUP(A47,'[1]Riepilogo IO'!$A$1:$G$30,2,FALSE)</f>
        <v>Documentazione relativa alle attività del Piano</v>
      </c>
      <c r="D47" s="19" t="str">
        <f>VLOOKUP(A47,'[1]Riepilogo IO'!$A$1:$G$30,4,FALSE)</f>
        <v>SI</v>
      </c>
      <c r="E47" s="20" t="str">
        <f>IFERROR(VLOOKUP(A47,'[1]Riepilogo IR'!$B$1:$H$5,2,FALSE),"non richiesto")</f>
        <v>non richiesto</v>
      </c>
      <c r="F47" s="20" t="str">
        <f>IFERROR(VLOOKUP(A47,'[1]Riepilogo IR'!$B$1:$H$5,4,FALSE),"")</f>
        <v/>
      </c>
      <c r="H47" s="17"/>
      <c r="I47" s="17"/>
      <c r="J47" s="17"/>
      <c r="K47" s="22"/>
      <c r="L47" s="17"/>
      <c r="M47" s="22"/>
      <c r="N47" s="22"/>
      <c r="O47" s="20" t="str">
        <f>E47</f>
        <v>non richiesto</v>
      </c>
      <c r="P47" s="20"/>
      <c r="Q47" s="17"/>
    </row>
    <row r="48" spans="1:17" s="21" customFormat="1" ht="38.25" outlineLevel="1" x14ac:dyDescent="0.25">
      <c r="A48" s="17" t="s">
        <v>102</v>
      </c>
      <c r="B48" s="18" t="s">
        <v>103</v>
      </c>
      <c r="C48" s="18" t="str">
        <f>VLOOKUP(A48,'[1]Riepilogo IO'!$A$1:$G$30,2,FALSE)</f>
        <v>Incontri con gli stakeholder</v>
      </c>
      <c r="D48" s="19">
        <f>VLOOKUP(A48,'[1]Riepilogo IO'!$A$1:$G$30,4,FALSE)</f>
        <v>4</v>
      </c>
      <c r="E48" s="20" t="str">
        <f>IFERROR(VLOOKUP(A48,'[1]Riepilogo IR'!$B$1:$H$5,2,FALSE),"non richiesto")</f>
        <v>non richiesto</v>
      </c>
      <c r="F48" s="20" t="str">
        <f>IFERROR(VLOOKUP(A48,'[1]Riepilogo IR'!$B$1:$H$5,4,FALSE),"")</f>
        <v/>
      </c>
      <c r="H48" s="17"/>
      <c r="I48" s="17"/>
      <c r="J48" s="17"/>
      <c r="K48" s="22"/>
      <c r="L48" s="17"/>
      <c r="M48" s="22"/>
      <c r="N48" s="22"/>
      <c r="O48" s="20" t="str">
        <f>E48</f>
        <v>non richiesto</v>
      </c>
      <c r="P48" s="20"/>
      <c r="Q48" s="17"/>
    </row>
    <row r="49" spans="1:17" s="21" customFormat="1" ht="63.75" outlineLevel="1" x14ac:dyDescent="0.25">
      <c r="A49" s="17" t="s">
        <v>104</v>
      </c>
      <c r="B49" s="18" t="s">
        <v>105</v>
      </c>
      <c r="C49" s="18" t="str">
        <f>VLOOKUP(A49,'[1]Riepilogo IO'!$A$1:$G$30,2,FALSE)</f>
        <v>Numero eventi formativi del partenariato ai propri enti territoriali</v>
      </c>
      <c r="D49" s="19">
        <f>VLOOKUP(A49,'[1]Riepilogo IO'!$A$1:$G$30,4,FALSE)</f>
        <v>11</v>
      </c>
      <c r="E49" s="20" t="str">
        <f>IFERROR(VLOOKUP(A49,'[1]Riepilogo IR'!$B$1:$H$5,2,FALSE),"non richiesto")</f>
        <v>non richiesto</v>
      </c>
      <c r="F49" s="20" t="str">
        <f>IFERROR(VLOOKUP(A49,'[1]Riepilogo IR'!$B$1:$H$5,4,FALSE),"")</f>
        <v/>
      </c>
      <c r="H49" s="17"/>
      <c r="I49" s="17"/>
      <c r="J49" s="17"/>
      <c r="K49" s="22"/>
      <c r="L49" s="17"/>
      <c r="M49" s="22"/>
      <c r="N49" s="22"/>
      <c r="O49" s="20" t="str">
        <f>E49</f>
        <v>non richiesto</v>
      </c>
      <c r="P49" s="20"/>
      <c r="Q49" s="17"/>
    </row>
    <row r="50" spans="1:17" s="21" customFormat="1" ht="51" outlineLevel="1" x14ac:dyDescent="0.25">
      <c r="A50" s="17" t="s">
        <v>106</v>
      </c>
      <c r="B50" s="18" t="s">
        <v>107</v>
      </c>
      <c r="C50" s="18" t="str">
        <f>VLOOKUP(A50,'[1]Riepilogo IO'!$A$1:$G$30,2,FALSE)</f>
        <v>FAQ per gli Enti interessati al riuo del sistema PayFlowPA</v>
      </c>
      <c r="D50" s="19" t="str">
        <f>VLOOKUP(A50,'[1]Riepilogo IO'!$A$1:$G$30,4,FALSE)</f>
        <v>SI</v>
      </c>
      <c r="E50" s="20" t="str">
        <f>IFERROR(VLOOKUP(A50,'[1]Riepilogo IR'!$B$1:$H$5,2,FALSE),"non richiesto")</f>
        <v>non richiesto</v>
      </c>
      <c r="F50" s="20" t="str">
        <f>IFERROR(VLOOKUP(A50,'[1]Riepilogo IR'!$B$1:$H$5,4,FALSE),"")</f>
        <v/>
      </c>
      <c r="H50" s="17"/>
      <c r="I50" s="17"/>
      <c r="J50" s="17"/>
      <c r="K50" s="22"/>
      <c r="L50" s="17"/>
      <c r="M50" s="22"/>
      <c r="N50" s="22"/>
      <c r="O50" s="20" t="str">
        <f>E50</f>
        <v>non richiesto</v>
      </c>
      <c r="P50" s="20"/>
      <c r="Q50" s="17"/>
    </row>
  </sheetData>
  <dataValidations count="5">
    <dataValidation type="list" allowBlank="1" showInputMessage="1" showErrorMessage="1" sqref="M26:N31 M33:N38 M40:N44 M46:N50 M17:N24 O34:P34 O36:P36 O38:P38 O44:P44" xr:uid="{00000000-0002-0000-0000-000000000000}">
      <formula1>$M$1:$M$3</formula1>
    </dataValidation>
    <dataValidation type="list" allowBlank="1" showInputMessage="1" showErrorMessage="1" sqref="K17:K24 K46:K50 K40:K44 K26:K31" xr:uid="{00000000-0002-0000-0000-000001000000}">
      <formula1>$L$1:$L$3</formula1>
    </dataValidation>
    <dataValidation type="list" allowBlank="1" showInputMessage="1" showErrorMessage="1" sqref="K13" xr:uid="{00000000-0002-0000-0000-000002000000}">
      <formula1>$K$1:$K$4</formula1>
    </dataValidation>
    <dataValidation type="list" allowBlank="1" showInputMessage="1" showErrorMessage="1" sqref="I13" xr:uid="{00000000-0002-0000-0000-000003000000}">
      <formula1>$I$1:$I$3</formula1>
    </dataValidation>
    <dataValidation type="list" allowBlank="1" showInputMessage="1" showErrorMessage="1" sqref="B13" xr:uid="{00000000-0002-0000-0000-000004000000}">
      <formula1>$B$1:$B$11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Format SAL trimestrale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Luigi Santangelo</cp:lastModifiedBy>
  <cp:lastPrinted>2020-03-02T10:43:21Z</cp:lastPrinted>
  <dcterms:created xsi:type="dcterms:W3CDTF">2020-03-02T09:30:18Z</dcterms:created>
  <dcterms:modified xsi:type="dcterms:W3CDTF">2020-03-02T10:43:28Z</dcterms:modified>
</cp:coreProperties>
</file>